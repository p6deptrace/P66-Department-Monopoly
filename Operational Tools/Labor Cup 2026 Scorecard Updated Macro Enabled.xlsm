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zgerald.aidan\Downloads\Newest Labor Contest File\"/>
    </mc:Choice>
  </mc:AlternateContent>
  <xr:revisionPtr revIDLastSave="0" documentId="13_ncr:1_{ABB7D4EB-F14E-46D0-B6BB-DE524DE3DCED}" xr6:coauthVersionLast="47" xr6:coauthVersionMax="47" xr10:uidLastSave="{00000000-0000-0000-0000-000000000000}"/>
  <bookViews>
    <workbookView xWindow="-120" yWindow="-120" windowWidth="29040" windowHeight="15720" tabRatio="817" firstSheet="3" activeTab="8" xr2:uid="{00000000-000D-0000-FFFF-FFFF00000000}"/>
  </bookViews>
  <sheets>
    <sheet name="Contest Overview" sheetId="7" r:id="rId1"/>
    <sheet name="Config" sheetId="1" r:id="rId2"/>
    <sheet name="Weekly Entry" sheetId="2" r:id="rId3"/>
    <sheet name="Weekly Leaderboard" sheetId="3" r:id="rId4"/>
    <sheet name="Monthly Leaderboard" sheetId="4" r:id="rId5"/>
    <sheet name="Yearly Leaderboard" sheetId="5" r:id="rId6"/>
    <sheet name="Instructions" sheetId="6" r:id="rId7"/>
    <sheet name="WeeklyCumulative" sheetId="8" r:id="rId8"/>
    <sheet name="BoardExport" sheetId="9" r:id="rId9"/>
    <sheet name="BoardExport (2)" sheetId="10" state="hidden" r:id="rId10"/>
  </sheets>
  <definedNames>
    <definedName name="_xlnm._FilterDatabase" localSheetId="4" hidden="1">'Monthly Leaderboard'!$A$23:$G$23</definedName>
    <definedName name="_xlnm._FilterDatabase" localSheetId="2" hidden="1">'Weekly Entry'!$A$2:$Q$302</definedName>
    <definedName name="_xlnm._FilterDatabase" localSheetId="3" hidden="1">'Weekly Leaderboard'!$A$23:$G$23</definedName>
    <definedName name="_xlnm._FilterDatabase" localSheetId="5" hidden="1">'Yearly Leaderboard'!$A$6:$G$6</definedName>
    <definedName name="_xlpm.change" hidden="1" xlm="1">#NAME?</definedName>
    <definedName name="_xlpm.converted" hidden="1" xlm="1">#NAME?</definedName>
    <definedName name="_xlpm.converted2" hidden="1" xlm="1">#NAME?</definedName>
    <definedName name="_xlpm.dataArray" hidden="1" xlm="1">#NAME?</definedName>
    <definedName name="_xlpm.dept" hidden="1" xlm="1">#NAME?</definedName>
    <definedName name="_xlpm.deptID" hidden="1" xlm="1">#NAME?</definedName>
    <definedName name="_xlpm.depts" hidden="1" xlm="1">#NAME?</definedName>
    <definedName name="_xlpm.firstDay" hidden="1" xlm="1">#NAME?</definedName>
    <definedName name="_xlpm.forecast" hidden="1" xlm="1">#NAME?</definedName>
    <definedName name="_xlpm.forecastMatch" hidden="1" xlm="1">#NAME?</definedName>
    <definedName name="_xlpm.higherCount" hidden="1" xlm="1">#NAME?</definedName>
    <definedName name="_xlpm.labor" hidden="1" xlm="1">#NAME?</definedName>
    <definedName name="_xlpm.lastDay" hidden="1" xlm="1">#NAME?</definedName>
    <definedName name="_xlpm.m" hidden="1" xlm="1">#NAME?</definedName>
    <definedName name="_xlpm.month" hidden="1" xlm="1">#NAME?</definedName>
    <definedName name="_xlpm.nonforecastMatch" hidden="1" xlm="1">#NAME?</definedName>
    <definedName name="_xlpm.normalizedName" hidden="1" xlm="1">#NAME?</definedName>
    <definedName name="_xlpm.priorRank" hidden="1" xlm="1">#NAME?</definedName>
    <definedName name="_xlpm.priorScore" hidden="1" xlm="1">#NAME?</definedName>
    <definedName name="_xlpm.priorWeekDate" hidden="1" xlm="1">#NAME?</definedName>
    <definedName name="_xlpm.punch" hidden="1" xlm="1">#NAME?</definedName>
    <definedName name="_xlpm.rawName" hidden="1" xlm="1">#NAME?</definedName>
    <definedName name="_xlpm.schedule" hidden="1" xlm="1">#NAME?</definedName>
    <definedName name="_xlpm.score" hidden="1" xlm="1">#NAME?</definedName>
    <definedName name="_xlpm.scores" hidden="1" xlm="1">#NAME?</definedName>
    <definedName name="_xlpm.specialName" hidden="1" xlm="1">#NAME?</definedName>
    <definedName name="_xlpm.step1" hidden="1" xlm="1">#NAME?</definedName>
    <definedName name="_xlpm.totalScore" hidden="1" xlm="1">#NAME?</definedName>
    <definedName name="_xlpm.weekDate" hidden="1" xlm="1">#NAME?</definedName>
    <definedName name="_xlpm.weeksInMonth" hidden="1" xlm="1">#NAME?</definedName>
    <definedName name="_xlpm.y" hidden="1" xlm="1">#NAME?</definedName>
    <definedName name="_xlpm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10" l="1" a="1"/>
  <c r="H27" i="10" s="1"/>
  <c r="E27" i="10"/>
  <c r="D27" i="10"/>
  <c r="H20" i="10" a="1"/>
  <c r="H20" i="10" s="1"/>
  <c r="E20" i="10"/>
  <c r="D20" i="10"/>
  <c r="H28" i="10" a="1"/>
  <c r="H28" i="10" s="1"/>
  <c r="E28" i="10"/>
  <c r="D28" i="10"/>
  <c r="H29" i="10" a="1"/>
  <c r="H29" i="10" s="1"/>
  <c r="E29" i="10"/>
  <c r="D29" i="10"/>
  <c r="H3" i="10" a="1"/>
  <c r="H3" i="10" s="1"/>
  <c r="E3" i="10"/>
  <c r="D3" i="10"/>
  <c r="H8" i="10" a="1"/>
  <c r="H8" i="10" s="1"/>
  <c r="E8" i="10"/>
  <c r="D8" i="10"/>
  <c r="H13" i="10" a="1"/>
  <c r="H13" i="10" s="1"/>
  <c r="E13" i="10"/>
  <c r="D13" i="10"/>
  <c r="H9" i="10" a="1"/>
  <c r="H9" i="10" s="1"/>
  <c r="E9" i="10"/>
  <c r="D9" i="10"/>
  <c r="H26" i="10" a="1"/>
  <c r="H26" i="10" s="1"/>
  <c r="E26" i="10"/>
  <c r="D26" i="10"/>
  <c r="H19" i="10" a="1"/>
  <c r="H19" i="10" s="1"/>
  <c r="E19" i="10"/>
  <c r="D19" i="10"/>
  <c r="H7" i="10" a="1"/>
  <c r="H7" i="10" s="1"/>
  <c r="E7" i="10"/>
  <c r="D7" i="10"/>
  <c r="H12" i="10" a="1"/>
  <c r="H12" i="10" s="1"/>
  <c r="E12" i="10"/>
  <c r="D12" i="10"/>
  <c r="H6" i="10" a="1"/>
  <c r="H6" i="10" s="1"/>
  <c r="E6" i="10"/>
  <c r="D6" i="10"/>
  <c r="H15" i="10" a="1"/>
  <c r="H15" i="10" s="1"/>
  <c r="E15" i="10"/>
  <c r="D15" i="10"/>
  <c r="H16" i="10" a="1"/>
  <c r="H16" i="10" s="1"/>
  <c r="E16" i="10"/>
  <c r="D16" i="10"/>
  <c r="H11" i="10" a="1"/>
  <c r="H11" i="10" s="1"/>
  <c r="E11" i="10"/>
  <c r="D11" i="10"/>
  <c r="H18" i="10" a="1"/>
  <c r="H18" i="10" s="1"/>
  <c r="E18" i="10"/>
  <c r="D18" i="10"/>
  <c r="H25" i="10" a="1"/>
  <c r="H25" i="10" s="1"/>
  <c r="E25" i="10"/>
  <c r="D25" i="10"/>
  <c r="H10" i="10" a="1"/>
  <c r="H10" i="10" s="1"/>
  <c r="E10" i="10"/>
  <c r="D10" i="10"/>
  <c r="H5" i="10" a="1"/>
  <c r="H5" i="10" s="1"/>
  <c r="E5" i="10"/>
  <c r="D5" i="10"/>
  <c r="H24" i="10" a="1"/>
  <c r="H24" i="10" s="1"/>
  <c r="E24" i="10"/>
  <c r="D24" i="10"/>
  <c r="H14" i="10" a="1"/>
  <c r="H14" i="10" s="1"/>
  <c r="E14" i="10"/>
  <c r="D14" i="10"/>
  <c r="H2" i="10" a="1"/>
  <c r="H2" i="10" s="1"/>
  <c r="E2" i="10"/>
  <c r="D2" i="10"/>
  <c r="H21" i="10" a="1"/>
  <c r="H21" i="10" s="1"/>
  <c r="E21" i="10"/>
  <c r="D21" i="10"/>
  <c r="H22" i="10" a="1"/>
  <c r="H22" i="10" s="1"/>
  <c r="E22" i="10"/>
  <c r="D22" i="10"/>
  <c r="H23" i="10" a="1"/>
  <c r="H23" i="10" s="1"/>
  <c r="E23" i="10"/>
  <c r="D23" i="10"/>
  <c r="H4" i="10" a="1"/>
  <c r="H4" i="10" s="1"/>
  <c r="E4" i="10"/>
  <c r="D4" i="10"/>
  <c r="H17" i="10" a="1"/>
  <c r="H17" i="10" s="1"/>
  <c r="E17" i="10"/>
  <c r="D17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H2" i="9" a="1"/>
  <c r="H2" i="9" s="1"/>
  <c r="H3" i="9" a="1"/>
  <c r="H3" i="9" s="1"/>
  <c r="H4" i="9" a="1"/>
  <c r="H4" i="9"/>
  <c r="H5" i="9" a="1"/>
  <c r="H5" i="9"/>
  <c r="H6" i="9" a="1"/>
  <c r="H6" i="9" s="1"/>
  <c r="H7" i="9" a="1"/>
  <c r="H7" i="9" s="1"/>
  <c r="H8" i="9" a="1"/>
  <c r="H8" i="9"/>
  <c r="H9" i="9" a="1"/>
  <c r="H9" i="9"/>
  <c r="H10" i="9" a="1"/>
  <c r="H10" i="9" s="1"/>
  <c r="H11" i="9" a="1"/>
  <c r="H11" i="9" s="1"/>
  <c r="H12" i="9" a="1"/>
  <c r="H12" i="9" s="1"/>
  <c r="H13" i="9" a="1"/>
  <c r="H13" i="9" s="1"/>
  <c r="H14" i="9" a="1"/>
  <c r="H14" i="9"/>
  <c r="H15" i="9" a="1"/>
  <c r="H15" i="9"/>
  <c r="H16" i="9" a="1"/>
  <c r="H16" i="9"/>
  <c r="H17" i="9" a="1"/>
  <c r="H17" i="9" s="1"/>
  <c r="H18" i="9" a="1"/>
  <c r="H18" i="9"/>
  <c r="H19" i="9" a="1"/>
  <c r="H19" i="9"/>
  <c r="H20" i="9" a="1"/>
  <c r="H20" i="9" s="1"/>
  <c r="H21" i="9" a="1"/>
  <c r="H21" i="9" s="1"/>
  <c r="H22" i="9" a="1"/>
  <c r="H22" i="9" s="1"/>
  <c r="H23" i="9" a="1"/>
  <c r="H23" i="9"/>
  <c r="H24" i="9" a="1"/>
  <c r="H24" i="9"/>
  <c r="H25" i="9" a="1"/>
  <c r="H25" i="9"/>
  <c r="H26" i="9" a="1"/>
  <c r="H26" i="9" s="1"/>
  <c r="H27" i="9" a="1"/>
  <c r="H27" i="9" s="1"/>
  <c r="H28" i="9" a="1"/>
  <c r="H28" i="9"/>
  <c r="H29" i="9" a="1"/>
  <c r="H29" i="9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B17" i="1"/>
  <c r="D17" i="1"/>
  <c r="E17" i="1"/>
  <c r="B18" i="1"/>
  <c r="D18" i="1"/>
  <c r="E18" i="1"/>
  <c r="B19" i="1"/>
  <c r="D19" i="1"/>
  <c r="E19" i="1"/>
  <c r="D20" i="1"/>
  <c r="E20" i="1"/>
  <c r="D21" i="1"/>
  <c r="E21" i="1"/>
  <c r="C22" i="1"/>
  <c r="D22" i="1"/>
  <c r="E22" i="1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B30" i="1"/>
  <c r="B29" i="1"/>
  <c r="B28" i="1"/>
  <c r="A49" i="7"/>
  <c r="D47" i="7"/>
  <c r="C47" i="7"/>
  <c r="B47" i="7"/>
  <c r="D46" i="7"/>
  <c r="C46" i="7"/>
  <c r="B46" i="7"/>
  <c r="D45" i="7"/>
  <c r="C45" i="7"/>
  <c r="B45" i="7"/>
  <c r="A11" i="6"/>
  <c r="G10" i="10" a="1"/>
  <c r="G5" i="10" a="1"/>
  <c r="G14" i="10" a="1"/>
  <c r="G23" i="9" a="1"/>
  <c r="G23" i="10" a="1"/>
  <c r="G27" i="10" a="1"/>
  <c r="G6" i="9" a="1"/>
  <c r="G18" i="10" a="1"/>
  <c r="G24" i="10" a="1"/>
  <c r="G20" i="10" a="1"/>
  <c r="G13" i="10" a="1"/>
  <c r="G9" i="10" a="1"/>
  <c r="G17" i="10" a="1"/>
  <c r="G18" i="9" a="1"/>
  <c r="G29" i="9" a="1"/>
  <c r="G3" i="9" a="1"/>
  <c r="G11" i="9" a="1"/>
  <c r="G26" i="9" a="1"/>
  <c r="G21" i="9" a="1"/>
  <c r="G17" i="9" a="1"/>
  <c r="G21" i="10" a="1"/>
  <c r="G5" i="9" a="1"/>
  <c r="G26" i="10" a="1"/>
  <c r="G20" i="9" a="1"/>
  <c r="G4" i="9" a="1"/>
  <c r="E3" i="8" a="1"/>
  <c r="G9" i="9" a="1"/>
  <c r="G3" i="10" a="1"/>
  <c r="G8" i="10" a="1"/>
  <c r="G19" i="10" a="1"/>
  <c r="G14" i="9" a="1"/>
  <c r="G12" i="10" a="1"/>
  <c r="F3" i="8" a="1"/>
  <c r="G25" i="10" a="1"/>
  <c r="G10" i="9" a="1"/>
  <c r="G28" i="10" a="1"/>
  <c r="C3" i="8" a="1"/>
  <c r="G6" i="10" a="1"/>
  <c r="D3" i="8" a="1"/>
  <c r="G11" i="10" a="1"/>
  <c r="G15" i="10" a="1"/>
  <c r="G4" i="10" a="1"/>
  <c r="G13" i="9" a="1"/>
  <c r="G7" i="9" a="1"/>
  <c r="G12" i="9" a="1"/>
  <c r="G8" i="9" a="1"/>
  <c r="G19" i="9" a="1"/>
  <c r="B3" i="8" a="1"/>
  <c r="G27" i="9" a="1"/>
  <c r="G22" i="10" a="1"/>
  <c r="G25" i="9" a="1"/>
  <c r="G2" i="10" a="1"/>
  <c r="G16" i="9" a="1"/>
  <c r="G29" i="10" a="1"/>
  <c r="G7" i="10" a="1"/>
  <c r="G15" i="9" a="1"/>
  <c r="G2" i="9" a="1"/>
  <c r="G22" i="9" a="1"/>
  <c r="G28" i="9" a="1"/>
  <c r="G24" i="9" a="1"/>
  <c r="G16" i="10" a="1"/>
  <c r="G29" i="10" l="1"/>
  <c r="G22" i="10"/>
  <c r="G3" i="10"/>
  <c r="G23" i="10"/>
  <c r="G2" i="10"/>
  <c r="G8" i="10"/>
  <c r="G21" i="10"/>
  <c r="G4" i="10"/>
  <c r="G13" i="10"/>
  <c r="G20" i="10"/>
  <c r="G24" i="10"/>
  <c r="G27" i="10"/>
  <c r="G18" i="10"/>
  <c r="G16" i="10"/>
  <c r="G15" i="10"/>
  <c r="G11" i="10"/>
  <c r="G6" i="10"/>
  <c r="G7" i="10"/>
  <c r="G28" i="10"/>
  <c r="G25" i="10"/>
  <c r="G12" i="10"/>
  <c r="G19" i="10"/>
  <c r="G26" i="10"/>
  <c r="G14" i="10"/>
  <c r="G5" i="10"/>
  <c r="G10" i="10"/>
  <c r="G17" i="10"/>
  <c r="G9" i="10"/>
  <c r="G20" i="9"/>
  <c r="G29" i="9"/>
  <c r="G9" i="9"/>
  <c r="G19" i="9"/>
  <c r="G28" i="9"/>
  <c r="G8" i="9"/>
  <c r="G18" i="9"/>
  <c r="G27" i="9"/>
  <c r="G7" i="9"/>
  <c r="G17" i="9"/>
  <c r="G26" i="9"/>
  <c r="G6" i="9"/>
  <c r="G16" i="9"/>
  <c r="G25" i="9"/>
  <c r="G5" i="9"/>
  <c r="G15" i="9"/>
  <c r="G24" i="9"/>
  <c r="G4" i="9"/>
  <c r="G10" i="9"/>
  <c r="G14" i="9"/>
  <c r="G11" i="9"/>
  <c r="G23" i="9"/>
  <c r="G13" i="9"/>
  <c r="G3" i="9"/>
  <c r="G21" i="9"/>
  <c r="G22" i="9"/>
  <c r="G12" i="9"/>
  <c r="G2" i="9"/>
  <c r="B3" i="8"/>
  <c r="E3" i="8"/>
  <c r="D3" i="8"/>
  <c r="C3" i="8"/>
  <c r="F3" i="8"/>
  <c r="D50" i="7"/>
  <c r="H31" i="2"/>
  <c r="I31" i="2" s="1"/>
  <c r="R302" i="2"/>
  <c r="Q302" i="2"/>
  <c r="O302" i="2"/>
  <c r="H302" i="2"/>
  <c r="J302" i="2" s="1"/>
  <c r="F302" i="2"/>
  <c r="R301" i="2"/>
  <c r="Q301" i="2"/>
  <c r="O301" i="2"/>
  <c r="H301" i="2"/>
  <c r="J301" i="2" s="1"/>
  <c r="F301" i="2"/>
  <c r="R300" i="2"/>
  <c r="Q300" i="2"/>
  <c r="O300" i="2"/>
  <c r="H300" i="2"/>
  <c r="J300" i="2" s="1"/>
  <c r="F300" i="2"/>
  <c r="R299" i="2"/>
  <c r="Q299" i="2"/>
  <c r="O299" i="2"/>
  <c r="H299" i="2"/>
  <c r="J299" i="2" s="1"/>
  <c r="F299" i="2"/>
  <c r="R298" i="2"/>
  <c r="Q298" i="2"/>
  <c r="O298" i="2"/>
  <c r="H298" i="2"/>
  <c r="J298" i="2" s="1"/>
  <c r="F298" i="2"/>
  <c r="R297" i="2"/>
  <c r="Q297" i="2"/>
  <c r="O297" i="2"/>
  <c r="H297" i="2"/>
  <c r="J297" i="2" s="1"/>
  <c r="F297" i="2"/>
  <c r="R296" i="2"/>
  <c r="Q296" i="2"/>
  <c r="O296" i="2"/>
  <c r="H296" i="2"/>
  <c r="J296" i="2" s="1"/>
  <c r="F296" i="2"/>
  <c r="R295" i="2"/>
  <c r="Q295" i="2"/>
  <c r="O295" i="2"/>
  <c r="H295" i="2"/>
  <c r="J295" i="2" s="1"/>
  <c r="F295" i="2"/>
  <c r="R294" i="2"/>
  <c r="Q294" i="2"/>
  <c r="O294" i="2"/>
  <c r="H294" i="2"/>
  <c r="J294" i="2" s="1"/>
  <c r="F294" i="2"/>
  <c r="R293" i="2"/>
  <c r="Q293" i="2"/>
  <c r="O293" i="2"/>
  <c r="H293" i="2"/>
  <c r="J293" i="2" s="1"/>
  <c r="F293" i="2"/>
  <c r="R292" i="2"/>
  <c r="Q292" i="2"/>
  <c r="O292" i="2"/>
  <c r="H292" i="2"/>
  <c r="J292" i="2" s="1"/>
  <c r="F292" i="2"/>
  <c r="R291" i="2"/>
  <c r="Q291" i="2"/>
  <c r="O291" i="2"/>
  <c r="H291" i="2"/>
  <c r="J291" i="2" s="1"/>
  <c r="F291" i="2"/>
  <c r="R290" i="2"/>
  <c r="Q290" i="2"/>
  <c r="O290" i="2"/>
  <c r="H290" i="2"/>
  <c r="J290" i="2" s="1"/>
  <c r="F290" i="2"/>
  <c r="R289" i="2"/>
  <c r="Q289" i="2"/>
  <c r="O289" i="2"/>
  <c r="H289" i="2"/>
  <c r="J289" i="2" s="1"/>
  <c r="F289" i="2"/>
  <c r="R288" i="2"/>
  <c r="Q288" i="2"/>
  <c r="O288" i="2"/>
  <c r="H288" i="2"/>
  <c r="J288" i="2" s="1"/>
  <c r="F288" i="2"/>
  <c r="R287" i="2"/>
  <c r="Q287" i="2"/>
  <c r="O287" i="2"/>
  <c r="H287" i="2"/>
  <c r="J287" i="2" s="1"/>
  <c r="F287" i="2"/>
  <c r="R286" i="2"/>
  <c r="Q286" i="2"/>
  <c r="O286" i="2"/>
  <c r="H286" i="2"/>
  <c r="J286" i="2" s="1"/>
  <c r="F286" i="2"/>
  <c r="R285" i="2"/>
  <c r="Q285" i="2"/>
  <c r="O285" i="2"/>
  <c r="H285" i="2"/>
  <c r="J285" i="2" s="1"/>
  <c r="F285" i="2"/>
  <c r="R284" i="2"/>
  <c r="Q284" i="2"/>
  <c r="O284" i="2"/>
  <c r="H284" i="2"/>
  <c r="J284" i="2" s="1"/>
  <c r="F284" i="2"/>
  <c r="R283" i="2"/>
  <c r="Q283" i="2"/>
  <c r="O283" i="2"/>
  <c r="H283" i="2"/>
  <c r="J283" i="2" s="1"/>
  <c r="F283" i="2"/>
  <c r="R282" i="2"/>
  <c r="Q282" i="2"/>
  <c r="O282" i="2"/>
  <c r="H282" i="2"/>
  <c r="J282" i="2" s="1"/>
  <c r="F282" i="2"/>
  <c r="R281" i="2"/>
  <c r="Q281" i="2"/>
  <c r="O281" i="2"/>
  <c r="H281" i="2"/>
  <c r="J281" i="2" s="1"/>
  <c r="F281" i="2"/>
  <c r="R280" i="2"/>
  <c r="Q280" i="2"/>
  <c r="O280" i="2"/>
  <c r="H280" i="2"/>
  <c r="J280" i="2" s="1"/>
  <c r="F280" i="2"/>
  <c r="R279" i="2"/>
  <c r="Q279" i="2"/>
  <c r="O279" i="2"/>
  <c r="H279" i="2"/>
  <c r="J279" i="2" s="1"/>
  <c r="F279" i="2"/>
  <c r="R278" i="2"/>
  <c r="Q278" i="2"/>
  <c r="O278" i="2"/>
  <c r="H278" i="2"/>
  <c r="J278" i="2" s="1"/>
  <c r="F278" i="2"/>
  <c r="R277" i="2"/>
  <c r="Q277" i="2"/>
  <c r="O277" i="2"/>
  <c r="H277" i="2"/>
  <c r="J277" i="2" s="1"/>
  <c r="F277" i="2"/>
  <c r="R276" i="2"/>
  <c r="Q276" i="2"/>
  <c r="O276" i="2"/>
  <c r="H276" i="2"/>
  <c r="J276" i="2" s="1"/>
  <c r="F276" i="2"/>
  <c r="R275" i="2"/>
  <c r="Q275" i="2"/>
  <c r="O275" i="2"/>
  <c r="H275" i="2"/>
  <c r="J275" i="2" s="1"/>
  <c r="F275" i="2"/>
  <c r="R274" i="2"/>
  <c r="Q274" i="2"/>
  <c r="O274" i="2"/>
  <c r="H274" i="2"/>
  <c r="J274" i="2" s="1"/>
  <c r="F274" i="2"/>
  <c r="R273" i="2"/>
  <c r="Q273" i="2"/>
  <c r="O273" i="2"/>
  <c r="H273" i="2"/>
  <c r="J273" i="2" s="1"/>
  <c r="F273" i="2"/>
  <c r="R272" i="2"/>
  <c r="Q272" i="2"/>
  <c r="O272" i="2"/>
  <c r="H272" i="2"/>
  <c r="J272" i="2" s="1"/>
  <c r="F272" i="2"/>
  <c r="R271" i="2"/>
  <c r="Q271" i="2"/>
  <c r="O271" i="2"/>
  <c r="H271" i="2"/>
  <c r="J271" i="2" s="1"/>
  <c r="F271" i="2"/>
  <c r="R270" i="2"/>
  <c r="Q270" i="2"/>
  <c r="O270" i="2"/>
  <c r="H270" i="2"/>
  <c r="J270" i="2" s="1"/>
  <c r="F270" i="2"/>
  <c r="R269" i="2"/>
  <c r="Q269" i="2"/>
  <c r="O269" i="2"/>
  <c r="H269" i="2"/>
  <c r="J269" i="2" s="1"/>
  <c r="F269" i="2"/>
  <c r="R268" i="2"/>
  <c r="Q268" i="2"/>
  <c r="O268" i="2"/>
  <c r="H268" i="2"/>
  <c r="J268" i="2" s="1"/>
  <c r="F268" i="2"/>
  <c r="R267" i="2"/>
  <c r="Q267" i="2"/>
  <c r="O267" i="2"/>
  <c r="H267" i="2"/>
  <c r="J267" i="2" s="1"/>
  <c r="F267" i="2"/>
  <c r="R266" i="2"/>
  <c r="Q266" i="2"/>
  <c r="O266" i="2"/>
  <c r="H266" i="2"/>
  <c r="J266" i="2" s="1"/>
  <c r="F266" i="2"/>
  <c r="R265" i="2"/>
  <c r="Q265" i="2"/>
  <c r="O265" i="2"/>
  <c r="H265" i="2"/>
  <c r="J265" i="2" s="1"/>
  <c r="F265" i="2"/>
  <c r="R264" i="2"/>
  <c r="Q264" i="2"/>
  <c r="O264" i="2"/>
  <c r="H264" i="2"/>
  <c r="J264" i="2" s="1"/>
  <c r="F264" i="2"/>
  <c r="R263" i="2"/>
  <c r="Q263" i="2"/>
  <c r="O263" i="2"/>
  <c r="H263" i="2"/>
  <c r="J263" i="2" s="1"/>
  <c r="F263" i="2"/>
  <c r="R262" i="2"/>
  <c r="Q262" i="2"/>
  <c r="O262" i="2"/>
  <c r="H262" i="2"/>
  <c r="J262" i="2" s="1"/>
  <c r="F262" i="2"/>
  <c r="R261" i="2"/>
  <c r="Q261" i="2"/>
  <c r="O261" i="2"/>
  <c r="H261" i="2"/>
  <c r="J261" i="2" s="1"/>
  <c r="F261" i="2"/>
  <c r="R260" i="2"/>
  <c r="Q260" i="2"/>
  <c r="O260" i="2"/>
  <c r="H260" i="2"/>
  <c r="J260" i="2" s="1"/>
  <c r="F260" i="2"/>
  <c r="R259" i="2"/>
  <c r="Q259" i="2"/>
  <c r="O259" i="2"/>
  <c r="H259" i="2"/>
  <c r="J259" i="2" s="1"/>
  <c r="F259" i="2"/>
  <c r="R258" i="2"/>
  <c r="Q258" i="2"/>
  <c r="O258" i="2"/>
  <c r="H258" i="2"/>
  <c r="J258" i="2" s="1"/>
  <c r="F258" i="2"/>
  <c r="R257" i="2"/>
  <c r="Q257" i="2"/>
  <c r="O257" i="2"/>
  <c r="H257" i="2"/>
  <c r="J257" i="2" s="1"/>
  <c r="F257" i="2"/>
  <c r="R256" i="2"/>
  <c r="Q256" i="2"/>
  <c r="O256" i="2"/>
  <c r="H256" i="2"/>
  <c r="J256" i="2" s="1"/>
  <c r="F256" i="2"/>
  <c r="R255" i="2"/>
  <c r="Q255" i="2"/>
  <c r="O255" i="2"/>
  <c r="H255" i="2"/>
  <c r="J255" i="2" s="1"/>
  <c r="F255" i="2"/>
  <c r="R254" i="2"/>
  <c r="Q254" i="2"/>
  <c r="O254" i="2"/>
  <c r="H254" i="2"/>
  <c r="J254" i="2" s="1"/>
  <c r="F254" i="2"/>
  <c r="R253" i="2"/>
  <c r="Q253" i="2"/>
  <c r="O253" i="2"/>
  <c r="H253" i="2"/>
  <c r="J253" i="2" s="1"/>
  <c r="F253" i="2"/>
  <c r="R252" i="2"/>
  <c r="Q252" i="2"/>
  <c r="O252" i="2"/>
  <c r="H252" i="2"/>
  <c r="J252" i="2" s="1"/>
  <c r="F252" i="2"/>
  <c r="R251" i="2"/>
  <c r="Q251" i="2"/>
  <c r="O251" i="2"/>
  <c r="H251" i="2"/>
  <c r="J251" i="2" s="1"/>
  <c r="F251" i="2"/>
  <c r="R250" i="2"/>
  <c r="Q250" i="2"/>
  <c r="O250" i="2"/>
  <c r="H250" i="2"/>
  <c r="J250" i="2" s="1"/>
  <c r="F250" i="2"/>
  <c r="R249" i="2"/>
  <c r="Q249" i="2"/>
  <c r="O249" i="2"/>
  <c r="H249" i="2"/>
  <c r="J249" i="2" s="1"/>
  <c r="F249" i="2"/>
  <c r="R248" i="2"/>
  <c r="Q248" i="2"/>
  <c r="O248" i="2"/>
  <c r="H248" i="2"/>
  <c r="J248" i="2" s="1"/>
  <c r="F248" i="2"/>
  <c r="R247" i="2"/>
  <c r="Q247" i="2"/>
  <c r="O247" i="2"/>
  <c r="H247" i="2"/>
  <c r="J247" i="2" s="1"/>
  <c r="F247" i="2"/>
  <c r="R246" i="2"/>
  <c r="Q246" i="2"/>
  <c r="O246" i="2"/>
  <c r="H246" i="2"/>
  <c r="J246" i="2" s="1"/>
  <c r="F246" i="2"/>
  <c r="R245" i="2"/>
  <c r="Q245" i="2"/>
  <c r="O245" i="2"/>
  <c r="H245" i="2"/>
  <c r="J245" i="2" s="1"/>
  <c r="F245" i="2"/>
  <c r="R244" i="2"/>
  <c r="Q244" i="2"/>
  <c r="O244" i="2"/>
  <c r="H244" i="2"/>
  <c r="J244" i="2" s="1"/>
  <c r="F244" i="2"/>
  <c r="R243" i="2"/>
  <c r="Q243" i="2"/>
  <c r="O243" i="2"/>
  <c r="H243" i="2"/>
  <c r="J243" i="2" s="1"/>
  <c r="F243" i="2"/>
  <c r="R242" i="2"/>
  <c r="Q242" i="2"/>
  <c r="O242" i="2"/>
  <c r="H242" i="2"/>
  <c r="J242" i="2" s="1"/>
  <c r="F242" i="2"/>
  <c r="R241" i="2"/>
  <c r="Q241" i="2"/>
  <c r="O241" i="2"/>
  <c r="H241" i="2"/>
  <c r="J241" i="2" s="1"/>
  <c r="F241" i="2"/>
  <c r="R240" i="2"/>
  <c r="Q240" i="2"/>
  <c r="O240" i="2"/>
  <c r="H240" i="2"/>
  <c r="J240" i="2" s="1"/>
  <c r="F240" i="2"/>
  <c r="R239" i="2"/>
  <c r="Q239" i="2"/>
  <c r="O239" i="2"/>
  <c r="H239" i="2"/>
  <c r="J239" i="2" s="1"/>
  <c r="F239" i="2"/>
  <c r="R238" i="2"/>
  <c r="Q238" i="2"/>
  <c r="O238" i="2"/>
  <c r="H238" i="2"/>
  <c r="J238" i="2" s="1"/>
  <c r="F238" i="2"/>
  <c r="R237" i="2"/>
  <c r="Q237" i="2"/>
  <c r="O237" i="2"/>
  <c r="H237" i="2"/>
  <c r="J237" i="2" s="1"/>
  <c r="F237" i="2"/>
  <c r="R236" i="2"/>
  <c r="Q236" i="2"/>
  <c r="O236" i="2"/>
  <c r="H236" i="2"/>
  <c r="J236" i="2" s="1"/>
  <c r="F236" i="2"/>
  <c r="R235" i="2"/>
  <c r="Q235" i="2"/>
  <c r="O235" i="2"/>
  <c r="H235" i="2"/>
  <c r="J235" i="2" s="1"/>
  <c r="F235" i="2"/>
  <c r="R234" i="2"/>
  <c r="Q234" i="2"/>
  <c r="O234" i="2"/>
  <c r="H234" i="2"/>
  <c r="J234" i="2" s="1"/>
  <c r="F234" i="2"/>
  <c r="R233" i="2"/>
  <c r="Q233" i="2"/>
  <c r="O233" i="2"/>
  <c r="H233" i="2"/>
  <c r="J233" i="2" s="1"/>
  <c r="F233" i="2"/>
  <c r="R232" i="2"/>
  <c r="Q232" i="2"/>
  <c r="O232" i="2"/>
  <c r="H232" i="2"/>
  <c r="J232" i="2" s="1"/>
  <c r="F232" i="2"/>
  <c r="R231" i="2"/>
  <c r="Q231" i="2"/>
  <c r="O231" i="2"/>
  <c r="H231" i="2"/>
  <c r="J231" i="2" s="1"/>
  <c r="F231" i="2"/>
  <c r="R230" i="2"/>
  <c r="Q230" i="2"/>
  <c r="O230" i="2"/>
  <c r="H230" i="2"/>
  <c r="J230" i="2" s="1"/>
  <c r="F230" i="2"/>
  <c r="R229" i="2"/>
  <c r="Q229" i="2"/>
  <c r="O229" i="2"/>
  <c r="H229" i="2"/>
  <c r="J229" i="2" s="1"/>
  <c r="F229" i="2"/>
  <c r="R228" i="2"/>
  <c r="Q228" i="2"/>
  <c r="O228" i="2"/>
  <c r="H228" i="2"/>
  <c r="J228" i="2" s="1"/>
  <c r="F228" i="2"/>
  <c r="R227" i="2"/>
  <c r="Q227" i="2"/>
  <c r="O227" i="2"/>
  <c r="H227" i="2"/>
  <c r="J227" i="2" s="1"/>
  <c r="F227" i="2"/>
  <c r="R226" i="2"/>
  <c r="Q226" i="2"/>
  <c r="O226" i="2"/>
  <c r="H226" i="2"/>
  <c r="J226" i="2" s="1"/>
  <c r="F226" i="2"/>
  <c r="R225" i="2"/>
  <c r="Q225" i="2"/>
  <c r="O225" i="2"/>
  <c r="H225" i="2"/>
  <c r="J225" i="2" s="1"/>
  <c r="F225" i="2"/>
  <c r="R224" i="2"/>
  <c r="Q224" i="2"/>
  <c r="O224" i="2"/>
  <c r="H224" i="2"/>
  <c r="J224" i="2" s="1"/>
  <c r="F224" i="2"/>
  <c r="R223" i="2"/>
  <c r="Q223" i="2"/>
  <c r="O223" i="2"/>
  <c r="H223" i="2"/>
  <c r="J223" i="2" s="1"/>
  <c r="F223" i="2"/>
  <c r="R222" i="2"/>
  <c r="Q222" i="2"/>
  <c r="O222" i="2"/>
  <c r="H222" i="2"/>
  <c r="J222" i="2" s="1"/>
  <c r="F222" i="2"/>
  <c r="R221" i="2"/>
  <c r="Q221" i="2"/>
  <c r="O221" i="2"/>
  <c r="H221" i="2"/>
  <c r="J221" i="2" s="1"/>
  <c r="F221" i="2"/>
  <c r="R220" i="2"/>
  <c r="Q220" i="2"/>
  <c r="O220" i="2"/>
  <c r="H220" i="2"/>
  <c r="J220" i="2" s="1"/>
  <c r="F220" i="2"/>
  <c r="R219" i="2"/>
  <c r="Q219" i="2"/>
  <c r="O219" i="2"/>
  <c r="H219" i="2"/>
  <c r="J219" i="2" s="1"/>
  <c r="F219" i="2"/>
  <c r="R218" i="2"/>
  <c r="Q218" i="2"/>
  <c r="O218" i="2"/>
  <c r="H218" i="2"/>
  <c r="J218" i="2" s="1"/>
  <c r="F218" i="2"/>
  <c r="R217" i="2"/>
  <c r="Q217" i="2"/>
  <c r="O217" i="2"/>
  <c r="H217" i="2"/>
  <c r="J217" i="2" s="1"/>
  <c r="F217" i="2"/>
  <c r="R216" i="2"/>
  <c r="Q216" i="2"/>
  <c r="O216" i="2"/>
  <c r="H216" i="2"/>
  <c r="J216" i="2" s="1"/>
  <c r="F216" i="2"/>
  <c r="R215" i="2"/>
  <c r="Q215" i="2"/>
  <c r="O215" i="2"/>
  <c r="H215" i="2"/>
  <c r="J215" i="2" s="1"/>
  <c r="F215" i="2"/>
  <c r="R214" i="2"/>
  <c r="Q214" i="2"/>
  <c r="O214" i="2"/>
  <c r="H214" i="2"/>
  <c r="J214" i="2" s="1"/>
  <c r="F214" i="2"/>
  <c r="R213" i="2"/>
  <c r="Q213" i="2"/>
  <c r="O213" i="2"/>
  <c r="H213" i="2"/>
  <c r="J213" i="2" s="1"/>
  <c r="F213" i="2"/>
  <c r="R212" i="2"/>
  <c r="Q212" i="2"/>
  <c r="O212" i="2"/>
  <c r="H212" i="2"/>
  <c r="J212" i="2" s="1"/>
  <c r="F212" i="2"/>
  <c r="R211" i="2"/>
  <c r="Q211" i="2"/>
  <c r="O211" i="2"/>
  <c r="H211" i="2"/>
  <c r="J211" i="2" s="1"/>
  <c r="F211" i="2"/>
  <c r="R210" i="2"/>
  <c r="Q210" i="2"/>
  <c r="O210" i="2"/>
  <c r="H210" i="2"/>
  <c r="J210" i="2" s="1"/>
  <c r="F210" i="2"/>
  <c r="R209" i="2"/>
  <c r="Q209" i="2"/>
  <c r="O209" i="2"/>
  <c r="H209" i="2"/>
  <c r="J209" i="2" s="1"/>
  <c r="F209" i="2"/>
  <c r="R208" i="2"/>
  <c r="Q208" i="2"/>
  <c r="O208" i="2"/>
  <c r="H208" i="2"/>
  <c r="J208" i="2" s="1"/>
  <c r="F208" i="2"/>
  <c r="R207" i="2"/>
  <c r="Q207" i="2"/>
  <c r="O207" i="2"/>
  <c r="H207" i="2"/>
  <c r="J207" i="2" s="1"/>
  <c r="F207" i="2"/>
  <c r="R206" i="2"/>
  <c r="Q206" i="2"/>
  <c r="O206" i="2"/>
  <c r="H206" i="2"/>
  <c r="J206" i="2" s="1"/>
  <c r="F206" i="2"/>
  <c r="R205" i="2"/>
  <c r="Q205" i="2"/>
  <c r="O205" i="2"/>
  <c r="H205" i="2"/>
  <c r="J205" i="2" s="1"/>
  <c r="F205" i="2"/>
  <c r="R204" i="2"/>
  <c r="Q204" i="2"/>
  <c r="O204" i="2"/>
  <c r="H204" i="2"/>
  <c r="J204" i="2" s="1"/>
  <c r="F204" i="2"/>
  <c r="R203" i="2"/>
  <c r="Q203" i="2"/>
  <c r="O203" i="2"/>
  <c r="H203" i="2"/>
  <c r="J203" i="2" s="1"/>
  <c r="F203" i="2"/>
  <c r="R202" i="2"/>
  <c r="Q202" i="2"/>
  <c r="O202" i="2"/>
  <c r="H202" i="2"/>
  <c r="J202" i="2" s="1"/>
  <c r="F202" i="2"/>
  <c r="R201" i="2"/>
  <c r="Q201" i="2"/>
  <c r="O201" i="2"/>
  <c r="H201" i="2"/>
  <c r="J201" i="2" s="1"/>
  <c r="F201" i="2"/>
  <c r="R200" i="2"/>
  <c r="Q200" i="2"/>
  <c r="O200" i="2"/>
  <c r="H200" i="2"/>
  <c r="J200" i="2" s="1"/>
  <c r="F200" i="2"/>
  <c r="R199" i="2"/>
  <c r="Q199" i="2"/>
  <c r="O199" i="2"/>
  <c r="H199" i="2"/>
  <c r="J199" i="2" s="1"/>
  <c r="F199" i="2"/>
  <c r="R198" i="2"/>
  <c r="Q198" i="2"/>
  <c r="O198" i="2"/>
  <c r="H198" i="2"/>
  <c r="J198" i="2" s="1"/>
  <c r="F198" i="2"/>
  <c r="R197" i="2"/>
  <c r="Q197" i="2"/>
  <c r="O197" i="2"/>
  <c r="H197" i="2"/>
  <c r="J197" i="2" s="1"/>
  <c r="F197" i="2"/>
  <c r="R196" i="2"/>
  <c r="Q196" i="2"/>
  <c r="O196" i="2"/>
  <c r="H196" i="2"/>
  <c r="J196" i="2" s="1"/>
  <c r="F196" i="2"/>
  <c r="R195" i="2"/>
  <c r="Q195" i="2"/>
  <c r="O195" i="2"/>
  <c r="H195" i="2"/>
  <c r="J195" i="2" s="1"/>
  <c r="F195" i="2"/>
  <c r="R194" i="2"/>
  <c r="Q194" i="2"/>
  <c r="O194" i="2"/>
  <c r="H194" i="2"/>
  <c r="J194" i="2" s="1"/>
  <c r="F194" i="2"/>
  <c r="R193" i="2"/>
  <c r="Q193" i="2"/>
  <c r="O193" i="2"/>
  <c r="H193" i="2"/>
  <c r="J193" i="2" s="1"/>
  <c r="F193" i="2"/>
  <c r="R192" i="2"/>
  <c r="Q192" i="2"/>
  <c r="O192" i="2"/>
  <c r="H192" i="2"/>
  <c r="J192" i="2" s="1"/>
  <c r="F192" i="2"/>
  <c r="R191" i="2"/>
  <c r="Q191" i="2"/>
  <c r="O191" i="2"/>
  <c r="H191" i="2"/>
  <c r="J191" i="2" s="1"/>
  <c r="F191" i="2"/>
  <c r="R190" i="2"/>
  <c r="Q190" i="2"/>
  <c r="O190" i="2"/>
  <c r="H190" i="2"/>
  <c r="J190" i="2" s="1"/>
  <c r="F190" i="2"/>
  <c r="R189" i="2"/>
  <c r="Q189" i="2"/>
  <c r="O189" i="2"/>
  <c r="H189" i="2"/>
  <c r="J189" i="2" s="1"/>
  <c r="F189" i="2"/>
  <c r="R188" i="2"/>
  <c r="Q188" i="2"/>
  <c r="O188" i="2"/>
  <c r="H188" i="2"/>
  <c r="J188" i="2" s="1"/>
  <c r="F188" i="2"/>
  <c r="R187" i="2"/>
  <c r="Q187" i="2"/>
  <c r="O187" i="2"/>
  <c r="H187" i="2"/>
  <c r="J187" i="2" s="1"/>
  <c r="F187" i="2"/>
  <c r="R186" i="2"/>
  <c r="Q186" i="2"/>
  <c r="O186" i="2"/>
  <c r="H186" i="2"/>
  <c r="J186" i="2" s="1"/>
  <c r="F186" i="2"/>
  <c r="R185" i="2"/>
  <c r="Q185" i="2"/>
  <c r="O185" i="2"/>
  <c r="H185" i="2"/>
  <c r="J185" i="2" s="1"/>
  <c r="F185" i="2"/>
  <c r="R184" i="2"/>
  <c r="Q184" i="2"/>
  <c r="O184" i="2"/>
  <c r="H184" i="2"/>
  <c r="J184" i="2" s="1"/>
  <c r="F184" i="2"/>
  <c r="R183" i="2"/>
  <c r="Q183" i="2"/>
  <c r="O183" i="2"/>
  <c r="H183" i="2"/>
  <c r="J183" i="2" s="1"/>
  <c r="F183" i="2"/>
  <c r="R182" i="2"/>
  <c r="Q182" i="2"/>
  <c r="O182" i="2"/>
  <c r="H182" i="2"/>
  <c r="J182" i="2" s="1"/>
  <c r="F182" i="2"/>
  <c r="R181" i="2"/>
  <c r="Q181" i="2"/>
  <c r="O181" i="2"/>
  <c r="H181" i="2"/>
  <c r="J181" i="2" s="1"/>
  <c r="F181" i="2"/>
  <c r="R180" i="2"/>
  <c r="Q180" i="2"/>
  <c r="O180" i="2"/>
  <c r="H180" i="2"/>
  <c r="J180" i="2" s="1"/>
  <c r="F180" i="2"/>
  <c r="R179" i="2"/>
  <c r="Q179" i="2"/>
  <c r="O179" i="2"/>
  <c r="H179" i="2"/>
  <c r="J179" i="2" s="1"/>
  <c r="F179" i="2"/>
  <c r="R178" i="2"/>
  <c r="Q178" i="2"/>
  <c r="O178" i="2"/>
  <c r="H178" i="2"/>
  <c r="J178" i="2" s="1"/>
  <c r="F178" i="2"/>
  <c r="R177" i="2"/>
  <c r="Q177" i="2"/>
  <c r="O177" i="2"/>
  <c r="H177" i="2"/>
  <c r="J177" i="2" s="1"/>
  <c r="F177" i="2"/>
  <c r="R176" i="2"/>
  <c r="Q176" i="2"/>
  <c r="O176" i="2"/>
  <c r="H176" i="2"/>
  <c r="J176" i="2" s="1"/>
  <c r="F176" i="2"/>
  <c r="R175" i="2"/>
  <c r="Q175" i="2"/>
  <c r="O175" i="2"/>
  <c r="H175" i="2"/>
  <c r="J175" i="2" s="1"/>
  <c r="F175" i="2"/>
  <c r="R174" i="2"/>
  <c r="Q174" i="2"/>
  <c r="O174" i="2"/>
  <c r="H174" i="2"/>
  <c r="J174" i="2" s="1"/>
  <c r="F174" i="2"/>
  <c r="R173" i="2"/>
  <c r="Q173" i="2"/>
  <c r="O173" i="2"/>
  <c r="H173" i="2"/>
  <c r="J173" i="2" s="1"/>
  <c r="F173" i="2"/>
  <c r="R172" i="2"/>
  <c r="Q172" i="2"/>
  <c r="O172" i="2"/>
  <c r="H172" i="2"/>
  <c r="J172" i="2" s="1"/>
  <c r="F172" i="2"/>
  <c r="R171" i="2"/>
  <c r="Q171" i="2"/>
  <c r="O171" i="2"/>
  <c r="H171" i="2"/>
  <c r="J171" i="2" s="1"/>
  <c r="F171" i="2"/>
  <c r="R170" i="2"/>
  <c r="Q170" i="2"/>
  <c r="O170" i="2"/>
  <c r="H170" i="2"/>
  <c r="J170" i="2" s="1"/>
  <c r="F170" i="2"/>
  <c r="R169" i="2"/>
  <c r="Q169" i="2"/>
  <c r="O169" i="2"/>
  <c r="H169" i="2"/>
  <c r="J169" i="2" s="1"/>
  <c r="F169" i="2"/>
  <c r="R168" i="2"/>
  <c r="Q168" i="2"/>
  <c r="O168" i="2"/>
  <c r="H168" i="2"/>
  <c r="J168" i="2" s="1"/>
  <c r="F168" i="2"/>
  <c r="R167" i="2"/>
  <c r="Q167" i="2"/>
  <c r="O167" i="2"/>
  <c r="H167" i="2"/>
  <c r="J167" i="2" s="1"/>
  <c r="F167" i="2"/>
  <c r="R166" i="2"/>
  <c r="Q166" i="2"/>
  <c r="O166" i="2"/>
  <c r="H166" i="2"/>
  <c r="J166" i="2" s="1"/>
  <c r="F166" i="2"/>
  <c r="R165" i="2"/>
  <c r="Q165" i="2"/>
  <c r="O165" i="2"/>
  <c r="H165" i="2"/>
  <c r="J165" i="2" s="1"/>
  <c r="F165" i="2"/>
  <c r="R164" i="2"/>
  <c r="Q164" i="2"/>
  <c r="O164" i="2"/>
  <c r="H164" i="2"/>
  <c r="J164" i="2" s="1"/>
  <c r="F164" i="2"/>
  <c r="R163" i="2"/>
  <c r="Q163" i="2"/>
  <c r="O163" i="2"/>
  <c r="H163" i="2"/>
  <c r="J163" i="2" s="1"/>
  <c r="F163" i="2"/>
  <c r="R162" i="2"/>
  <c r="Q162" i="2"/>
  <c r="O162" i="2"/>
  <c r="H162" i="2"/>
  <c r="J162" i="2" s="1"/>
  <c r="F162" i="2"/>
  <c r="R161" i="2"/>
  <c r="Q161" i="2"/>
  <c r="O161" i="2"/>
  <c r="H161" i="2"/>
  <c r="J161" i="2" s="1"/>
  <c r="F161" i="2"/>
  <c r="R160" i="2"/>
  <c r="Q160" i="2"/>
  <c r="O160" i="2"/>
  <c r="H160" i="2"/>
  <c r="J160" i="2" s="1"/>
  <c r="F160" i="2"/>
  <c r="R159" i="2"/>
  <c r="Q159" i="2"/>
  <c r="O159" i="2"/>
  <c r="H159" i="2"/>
  <c r="J159" i="2" s="1"/>
  <c r="F159" i="2"/>
  <c r="R158" i="2"/>
  <c r="Q158" i="2"/>
  <c r="O158" i="2"/>
  <c r="H158" i="2"/>
  <c r="J158" i="2" s="1"/>
  <c r="F158" i="2"/>
  <c r="R157" i="2"/>
  <c r="Q157" i="2"/>
  <c r="O157" i="2"/>
  <c r="H157" i="2"/>
  <c r="J157" i="2" s="1"/>
  <c r="F157" i="2"/>
  <c r="R156" i="2"/>
  <c r="Q156" i="2"/>
  <c r="O156" i="2"/>
  <c r="H156" i="2"/>
  <c r="J156" i="2" s="1"/>
  <c r="F156" i="2"/>
  <c r="R155" i="2"/>
  <c r="Q155" i="2"/>
  <c r="O155" i="2"/>
  <c r="H155" i="2"/>
  <c r="J155" i="2" s="1"/>
  <c r="F155" i="2"/>
  <c r="R154" i="2"/>
  <c r="Q154" i="2"/>
  <c r="O154" i="2"/>
  <c r="H154" i="2"/>
  <c r="J154" i="2" s="1"/>
  <c r="F154" i="2"/>
  <c r="R153" i="2"/>
  <c r="Q153" i="2"/>
  <c r="O153" i="2"/>
  <c r="H153" i="2"/>
  <c r="J153" i="2" s="1"/>
  <c r="F153" i="2"/>
  <c r="R152" i="2"/>
  <c r="Q152" i="2"/>
  <c r="O152" i="2"/>
  <c r="H152" i="2"/>
  <c r="J152" i="2" s="1"/>
  <c r="F152" i="2"/>
  <c r="R151" i="2"/>
  <c r="Q151" i="2"/>
  <c r="O151" i="2"/>
  <c r="H151" i="2"/>
  <c r="J151" i="2" s="1"/>
  <c r="F151" i="2"/>
  <c r="R150" i="2"/>
  <c r="Q150" i="2"/>
  <c r="O150" i="2"/>
  <c r="H150" i="2"/>
  <c r="J150" i="2" s="1"/>
  <c r="F150" i="2"/>
  <c r="R149" i="2"/>
  <c r="Q149" i="2"/>
  <c r="O149" i="2"/>
  <c r="H149" i="2"/>
  <c r="J149" i="2" s="1"/>
  <c r="F149" i="2"/>
  <c r="R148" i="2"/>
  <c r="Q148" i="2"/>
  <c r="O148" i="2"/>
  <c r="H148" i="2"/>
  <c r="J148" i="2" s="1"/>
  <c r="F148" i="2"/>
  <c r="R147" i="2"/>
  <c r="Q147" i="2"/>
  <c r="O147" i="2"/>
  <c r="H147" i="2"/>
  <c r="J147" i="2" s="1"/>
  <c r="F147" i="2"/>
  <c r="R146" i="2"/>
  <c r="Q146" i="2"/>
  <c r="O146" i="2"/>
  <c r="H146" i="2"/>
  <c r="J146" i="2" s="1"/>
  <c r="F146" i="2"/>
  <c r="R145" i="2"/>
  <c r="Q145" i="2"/>
  <c r="O145" i="2"/>
  <c r="H145" i="2"/>
  <c r="J145" i="2" s="1"/>
  <c r="F145" i="2"/>
  <c r="R144" i="2"/>
  <c r="Q144" i="2"/>
  <c r="O144" i="2"/>
  <c r="H144" i="2"/>
  <c r="J144" i="2" s="1"/>
  <c r="F144" i="2"/>
  <c r="R143" i="2"/>
  <c r="Q143" i="2"/>
  <c r="O143" i="2"/>
  <c r="H143" i="2"/>
  <c r="J143" i="2" s="1"/>
  <c r="F143" i="2"/>
  <c r="R142" i="2"/>
  <c r="Q142" i="2"/>
  <c r="O142" i="2"/>
  <c r="H142" i="2"/>
  <c r="J142" i="2" s="1"/>
  <c r="F142" i="2"/>
  <c r="R141" i="2"/>
  <c r="Q141" i="2"/>
  <c r="O141" i="2"/>
  <c r="H141" i="2"/>
  <c r="J141" i="2" s="1"/>
  <c r="F141" i="2"/>
  <c r="R140" i="2"/>
  <c r="Q140" i="2"/>
  <c r="O140" i="2"/>
  <c r="H140" i="2"/>
  <c r="J140" i="2" s="1"/>
  <c r="F140" i="2"/>
  <c r="R139" i="2"/>
  <c r="Q139" i="2"/>
  <c r="O139" i="2"/>
  <c r="H139" i="2"/>
  <c r="J139" i="2" s="1"/>
  <c r="F139" i="2"/>
  <c r="R138" i="2"/>
  <c r="Q138" i="2"/>
  <c r="O138" i="2"/>
  <c r="H138" i="2"/>
  <c r="J138" i="2" s="1"/>
  <c r="F138" i="2"/>
  <c r="R137" i="2"/>
  <c r="Q137" i="2"/>
  <c r="O137" i="2"/>
  <c r="H137" i="2"/>
  <c r="J137" i="2" s="1"/>
  <c r="F137" i="2"/>
  <c r="R136" i="2"/>
  <c r="Q136" i="2"/>
  <c r="O136" i="2"/>
  <c r="H136" i="2"/>
  <c r="J136" i="2" s="1"/>
  <c r="F136" i="2"/>
  <c r="R135" i="2"/>
  <c r="Q135" i="2"/>
  <c r="O135" i="2"/>
  <c r="H135" i="2"/>
  <c r="J135" i="2" s="1"/>
  <c r="F135" i="2"/>
  <c r="R134" i="2"/>
  <c r="Q134" i="2"/>
  <c r="O134" i="2"/>
  <c r="H134" i="2"/>
  <c r="J134" i="2" s="1"/>
  <c r="F134" i="2"/>
  <c r="R133" i="2"/>
  <c r="Q133" i="2"/>
  <c r="O133" i="2"/>
  <c r="H133" i="2"/>
  <c r="J133" i="2" s="1"/>
  <c r="F133" i="2"/>
  <c r="R132" i="2"/>
  <c r="Q132" i="2"/>
  <c r="O132" i="2"/>
  <c r="H132" i="2"/>
  <c r="J132" i="2" s="1"/>
  <c r="F132" i="2"/>
  <c r="R131" i="2"/>
  <c r="Q131" i="2"/>
  <c r="O131" i="2"/>
  <c r="H131" i="2"/>
  <c r="J131" i="2" s="1"/>
  <c r="F131" i="2"/>
  <c r="R130" i="2"/>
  <c r="Q130" i="2"/>
  <c r="O130" i="2"/>
  <c r="H130" i="2"/>
  <c r="J130" i="2" s="1"/>
  <c r="F130" i="2"/>
  <c r="R129" i="2"/>
  <c r="Q129" i="2"/>
  <c r="O129" i="2"/>
  <c r="H129" i="2"/>
  <c r="J129" i="2" s="1"/>
  <c r="F129" i="2"/>
  <c r="R128" i="2"/>
  <c r="Q128" i="2"/>
  <c r="O128" i="2"/>
  <c r="H128" i="2"/>
  <c r="J128" i="2" s="1"/>
  <c r="F128" i="2"/>
  <c r="R127" i="2"/>
  <c r="Q127" i="2"/>
  <c r="O127" i="2"/>
  <c r="H127" i="2"/>
  <c r="J127" i="2" s="1"/>
  <c r="F127" i="2"/>
  <c r="R126" i="2"/>
  <c r="Q126" i="2"/>
  <c r="O126" i="2"/>
  <c r="H126" i="2"/>
  <c r="J126" i="2" s="1"/>
  <c r="F126" i="2"/>
  <c r="R125" i="2"/>
  <c r="Q125" i="2"/>
  <c r="O125" i="2"/>
  <c r="H125" i="2"/>
  <c r="J125" i="2" s="1"/>
  <c r="F125" i="2"/>
  <c r="R124" i="2"/>
  <c r="Q124" i="2"/>
  <c r="O124" i="2"/>
  <c r="H124" i="2"/>
  <c r="J124" i="2" s="1"/>
  <c r="F124" i="2"/>
  <c r="R123" i="2"/>
  <c r="Q123" i="2"/>
  <c r="O123" i="2"/>
  <c r="H123" i="2"/>
  <c r="J123" i="2" s="1"/>
  <c r="F123" i="2"/>
  <c r="R122" i="2"/>
  <c r="Q122" i="2"/>
  <c r="O122" i="2"/>
  <c r="H122" i="2"/>
  <c r="J122" i="2" s="1"/>
  <c r="F122" i="2"/>
  <c r="R121" i="2"/>
  <c r="Q121" i="2"/>
  <c r="O121" i="2"/>
  <c r="H121" i="2"/>
  <c r="J121" i="2" s="1"/>
  <c r="F121" i="2"/>
  <c r="R120" i="2"/>
  <c r="Q120" i="2"/>
  <c r="O120" i="2"/>
  <c r="H120" i="2"/>
  <c r="J120" i="2" s="1"/>
  <c r="F120" i="2"/>
  <c r="R119" i="2"/>
  <c r="Q119" i="2"/>
  <c r="O119" i="2"/>
  <c r="H119" i="2"/>
  <c r="J119" i="2" s="1"/>
  <c r="F119" i="2"/>
  <c r="R118" i="2"/>
  <c r="Q118" i="2"/>
  <c r="O118" i="2"/>
  <c r="H118" i="2"/>
  <c r="J118" i="2" s="1"/>
  <c r="F118" i="2"/>
  <c r="R117" i="2"/>
  <c r="Q117" i="2"/>
  <c r="O117" i="2"/>
  <c r="H117" i="2"/>
  <c r="J117" i="2" s="1"/>
  <c r="F117" i="2"/>
  <c r="R116" i="2"/>
  <c r="Q116" i="2"/>
  <c r="O116" i="2"/>
  <c r="H116" i="2"/>
  <c r="J116" i="2" s="1"/>
  <c r="F116" i="2"/>
  <c r="R115" i="2"/>
  <c r="Q115" i="2"/>
  <c r="O115" i="2"/>
  <c r="H115" i="2"/>
  <c r="J115" i="2" s="1"/>
  <c r="F115" i="2"/>
  <c r="R114" i="2"/>
  <c r="Q114" i="2"/>
  <c r="O114" i="2"/>
  <c r="H114" i="2"/>
  <c r="J114" i="2" s="1"/>
  <c r="F114" i="2"/>
  <c r="R113" i="2"/>
  <c r="Q113" i="2"/>
  <c r="O113" i="2"/>
  <c r="H113" i="2"/>
  <c r="J113" i="2" s="1"/>
  <c r="F113" i="2"/>
  <c r="R112" i="2"/>
  <c r="Q112" i="2"/>
  <c r="O112" i="2"/>
  <c r="H112" i="2"/>
  <c r="J112" i="2" s="1"/>
  <c r="F112" i="2"/>
  <c r="R111" i="2"/>
  <c r="Q111" i="2"/>
  <c r="O111" i="2"/>
  <c r="H111" i="2"/>
  <c r="J111" i="2" s="1"/>
  <c r="F111" i="2"/>
  <c r="R110" i="2"/>
  <c r="Q110" i="2"/>
  <c r="O110" i="2"/>
  <c r="H110" i="2"/>
  <c r="J110" i="2" s="1"/>
  <c r="F110" i="2"/>
  <c r="R109" i="2"/>
  <c r="Q109" i="2"/>
  <c r="O109" i="2"/>
  <c r="H109" i="2"/>
  <c r="J109" i="2" s="1"/>
  <c r="F109" i="2"/>
  <c r="R108" i="2"/>
  <c r="Q108" i="2"/>
  <c r="O108" i="2"/>
  <c r="H108" i="2"/>
  <c r="J108" i="2" s="1"/>
  <c r="F108" i="2"/>
  <c r="R107" i="2"/>
  <c r="Q107" i="2"/>
  <c r="O107" i="2"/>
  <c r="H107" i="2"/>
  <c r="J107" i="2" s="1"/>
  <c r="F107" i="2"/>
  <c r="R106" i="2"/>
  <c r="Q106" i="2"/>
  <c r="O106" i="2"/>
  <c r="H106" i="2"/>
  <c r="J106" i="2" s="1"/>
  <c r="F106" i="2"/>
  <c r="R105" i="2"/>
  <c r="Q105" i="2"/>
  <c r="O105" i="2"/>
  <c r="H105" i="2"/>
  <c r="J105" i="2" s="1"/>
  <c r="F105" i="2"/>
  <c r="R104" i="2"/>
  <c r="Q104" i="2"/>
  <c r="O104" i="2"/>
  <c r="H104" i="2"/>
  <c r="J104" i="2" s="1"/>
  <c r="F104" i="2"/>
  <c r="R103" i="2"/>
  <c r="Q103" i="2"/>
  <c r="O103" i="2"/>
  <c r="H103" i="2"/>
  <c r="J103" i="2" s="1"/>
  <c r="F103" i="2"/>
  <c r="R102" i="2"/>
  <c r="Q102" i="2"/>
  <c r="O102" i="2"/>
  <c r="H102" i="2"/>
  <c r="J102" i="2" s="1"/>
  <c r="F102" i="2"/>
  <c r="R101" i="2"/>
  <c r="Q101" i="2"/>
  <c r="O101" i="2"/>
  <c r="H101" i="2"/>
  <c r="J101" i="2" s="1"/>
  <c r="F101" i="2"/>
  <c r="R100" i="2"/>
  <c r="Q100" i="2"/>
  <c r="O100" i="2"/>
  <c r="H100" i="2"/>
  <c r="J100" i="2" s="1"/>
  <c r="F100" i="2"/>
  <c r="R99" i="2"/>
  <c r="Q99" i="2"/>
  <c r="O99" i="2"/>
  <c r="H99" i="2"/>
  <c r="J99" i="2" s="1"/>
  <c r="F99" i="2"/>
  <c r="R98" i="2"/>
  <c r="Q98" i="2"/>
  <c r="O98" i="2"/>
  <c r="H98" i="2"/>
  <c r="F98" i="2"/>
  <c r="R97" i="2"/>
  <c r="Q97" i="2"/>
  <c r="O97" i="2"/>
  <c r="H97" i="2"/>
  <c r="F97" i="2"/>
  <c r="R96" i="2"/>
  <c r="Q96" i="2"/>
  <c r="O96" i="2"/>
  <c r="H96" i="2"/>
  <c r="F96" i="2"/>
  <c r="R95" i="2"/>
  <c r="Q95" i="2"/>
  <c r="O95" i="2"/>
  <c r="H95" i="2"/>
  <c r="F95" i="2"/>
  <c r="R94" i="2"/>
  <c r="Q94" i="2"/>
  <c r="O94" i="2"/>
  <c r="H94" i="2"/>
  <c r="F94" i="2"/>
  <c r="R93" i="2"/>
  <c r="Q93" i="2"/>
  <c r="O93" i="2"/>
  <c r="H93" i="2"/>
  <c r="F93" i="2"/>
  <c r="R92" i="2"/>
  <c r="Q92" i="2"/>
  <c r="O92" i="2"/>
  <c r="H92" i="2"/>
  <c r="F92" i="2"/>
  <c r="R91" i="2"/>
  <c r="Q91" i="2"/>
  <c r="O91" i="2"/>
  <c r="H91" i="2"/>
  <c r="F91" i="2"/>
  <c r="R90" i="2"/>
  <c r="Q90" i="2"/>
  <c r="O90" i="2"/>
  <c r="H90" i="2"/>
  <c r="F90" i="2"/>
  <c r="R89" i="2"/>
  <c r="Q89" i="2"/>
  <c r="O89" i="2"/>
  <c r="H89" i="2"/>
  <c r="F89" i="2"/>
  <c r="R88" i="2"/>
  <c r="Q88" i="2"/>
  <c r="O88" i="2"/>
  <c r="H88" i="2"/>
  <c r="F88" i="2"/>
  <c r="R87" i="2"/>
  <c r="Q87" i="2"/>
  <c r="O87" i="2"/>
  <c r="H87" i="2"/>
  <c r="F87" i="2"/>
  <c r="R86" i="2"/>
  <c r="Q86" i="2"/>
  <c r="O86" i="2"/>
  <c r="H86" i="2"/>
  <c r="J86" i="2" s="1"/>
  <c r="F86" i="2"/>
  <c r="R85" i="2"/>
  <c r="Q85" i="2"/>
  <c r="O85" i="2"/>
  <c r="H85" i="2"/>
  <c r="J85" i="2" s="1"/>
  <c r="F85" i="2"/>
  <c r="R84" i="2"/>
  <c r="Q84" i="2"/>
  <c r="O84" i="2"/>
  <c r="H84" i="2"/>
  <c r="J84" i="2" s="1"/>
  <c r="F84" i="2"/>
  <c r="R83" i="2"/>
  <c r="Q83" i="2"/>
  <c r="O83" i="2"/>
  <c r="H83" i="2"/>
  <c r="J83" i="2" s="1"/>
  <c r="F83" i="2"/>
  <c r="R82" i="2"/>
  <c r="Q82" i="2"/>
  <c r="O82" i="2"/>
  <c r="H82" i="2"/>
  <c r="J82" i="2" s="1"/>
  <c r="F82" i="2"/>
  <c r="R81" i="2"/>
  <c r="Q81" i="2"/>
  <c r="O81" i="2"/>
  <c r="H81" i="2"/>
  <c r="J81" i="2" s="1"/>
  <c r="F81" i="2"/>
  <c r="R80" i="2"/>
  <c r="Q80" i="2"/>
  <c r="O80" i="2"/>
  <c r="H80" i="2"/>
  <c r="J80" i="2" s="1"/>
  <c r="F80" i="2"/>
  <c r="R79" i="2"/>
  <c r="Q79" i="2"/>
  <c r="O79" i="2"/>
  <c r="H79" i="2"/>
  <c r="J79" i="2" s="1"/>
  <c r="F79" i="2"/>
  <c r="R78" i="2"/>
  <c r="Q78" i="2"/>
  <c r="O78" i="2"/>
  <c r="H78" i="2"/>
  <c r="J78" i="2" s="1"/>
  <c r="F78" i="2"/>
  <c r="R77" i="2"/>
  <c r="Q77" i="2"/>
  <c r="O77" i="2"/>
  <c r="H77" i="2"/>
  <c r="J77" i="2" s="1"/>
  <c r="F77" i="2"/>
  <c r="R76" i="2"/>
  <c r="Q76" i="2"/>
  <c r="O76" i="2"/>
  <c r="H76" i="2"/>
  <c r="J76" i="2" s="1"/>
  <c r="F76" i="2"/>
  <c r="R75" i="2"/>
  <c r="Q75" i="2"/>
  <c r="O75" i="2"/>
  <c r="H75" i="2"/>
  <c r="J75" i="2" s="1"/>
  <c r="F75" i="2"/>
  <c r="R74" i="2"/>
  <c r="Q74" i="2"/>
  <c r="O74" i="2"/>
  <c r="H74" i="2"/>
  <c r="J74" i="2" s="1"/>
  <c r="F74" i="2"/>
  <c r="R73" i="2"/>
  <c r="Q73" i="2"/>
  <c r="O73" i="2"/>
  <c r="H73" i="2"/>
  <c r="J73" i="2" s="1"/>
  <c r="F73" i="2"/>
  <c r="R72" i="2"/>
  <c r="Q72" i="2"/>
  <c r="O72" i="2"/>
  <c r="H72" i="2"/>
  <c r="J72" i="2" s="1"/>
  <c r="F72" i="2"/>
  <c r="R71" i="2"/>
  <c r="Q71" i="2"/>
  <c r="O71" i="2"/>
  <c r="H71" i="2"/>
  <c r="J71" i="2" s="1"/>
  <c r="F71" i="2"/>
  <c r="R70" i="2"/>
  <c r="Q70" i="2"/>
  <c r="O70" i="2"/>
  <c r="H70" i="2"/>
  <c r="I70" i="2" s="1"/>
  <c r="F70" i="2"/>
  <c r="R69" i="2"/>
  <c r="Q69" i="2"/>
  <c r="O69" i="2"/>
  <c r="H69" i="2"/>
  <c r="I69" i="2" s="1"/>
  <c r="F69" i="2"/>
  <c r="R68" i="2"/>
  <c r="Q68" i="2"/>
  <c r="O68" i="2"/>
  <c r="H68" i="2"/>
  <c r="I68" i="2" s="1"/>
  <c r="F68" i="2"/>
  <c r="R67" i="2"/>
  <c r="Q67" i="2"/>
  <c r="O67" i="2"/>
  <c r="H67" i="2"/>
  <c r="I67" i="2" s="1"/>
  <c r="F67" i="2"/>
  <c r="R66" i="2"/>
  <c r="Q66" i="2"/>
  <c r="O66" i="2"/>
  <c r="H66" i="2"/>
  <c r="F66" i="2"/>
  <c r="R65" i="2"/>
  <c r="Q65" i="2"/>
  <c r="O65" i="2"/>
  <c r="H65" i="2"/>
  <c r="F65" i="2"/>
  <c r="R64" i="2"/>
  <c r="Q64" i="2"/>
  <c r="O64" i="2"/>
  <c r="H64" i="2"/>
  <c r="I64" i="2" s="1"/>
  <c r="F64" i="2"/>
  <c r="R63" i="2"/>
  <c r="Q63" i="2"/>
  <c r="O63" i="2"/>
  <c r="H63" i="2"/>
  <c r="I63" i="2" s="1"/>
  <c r="F63" i="2"/>
  <c r="R62" i="2"/>
  <c r="Q62" i="2"/>
  <c r="O62" i="2"/>
  <c r="H62" i="2"/>
  <c r="I62" i="2" s="1"/>
  <c r="F62" i="2"/>
  <c r="R61" i="2"/>
  <c r="Q61" i="2"/>
  <c r="O61" i="2"/>
  <c r="H61" i="2"/>
  <c r="I61" i="2" s="1"/>
  <c r="F61" i="2"/>
  <c r="R60" i="2"/>
  <c r="Q60" i="2"/>
  <c r="O60" i="2"/>
  <c r="H60" i="2"/>
  <c r="F60" i="2"/>
  <c r="R59" i="2"/>
  <c r="Q59" i="2"/>
  <c r="O59" i="2"/>
  <c r="H59" i="2"/>
  <c r="F59" i="2"/>
  <c r="R58" i="2"/>
  <c r="Q58" i="2"/>
  <c r="H58" i="2"/>
  <c r="J58" i="2" s="1"/>
  <c r="F58" i="2"/>
  <c r="R57" i="2"/>
  <c r="Q57" i="2"/>
  <c r="H57" i="2"/>
  <c r="J57" i="2" s="1"/>
  <c r="F57" i="2"/>
  <c r="R56" i="2"/>
  <c r="Q56" i="2"/>
  <c r="H56" i="2"/>
  <c r="J56" i="2" s="1"/>
  <c r="F56" i="2"/>
  <c r="R55" i="2"/>
  <c r="Q55" i="2"/>
  <c r="H55" i="2"/>
  <c r="J55" i="2" s="1"/>
  <c r="F55" i="2"/>
  <c r="R54" i="2"/>
  <c r="Q54" i="2"/>
  <c r="H54" i="2"/>
  <c r="J54" i="2" s="1"/>
  <c r="F54" i="2"/>
  <c r="R53" i="2"/>
  <c r="Q53" i="2"/>
  <c r="H53" i="2"/>
  <c r="J53" i="2" s="1"/>
  <c r="F53" i="2"/>
  <c r="R52" i="2"/>
  <c r="Q52" i="2"/>
  <c r="H52" i="2"/>
  <c r="J52" i="2" s="1"/>
  <c r="F52" i="2"/>
  <c r="R51" i="2"/>
  <c r="Q51" i="2"/>
  <c r="H51" i="2"/>
  <c r="J51" i="2" s="1"/>
  <c r="F51" i="2"/>
  <c r="R50" i="2"/>
  <c r="Q50" i="2"/>
  <c r="H50" i="2"/>
  <c r="J50" i="2" s="1"/>
  <c r="F50" i="2"/>
  <c r="R49" i="2"/>
  <c r="Q49" i="2"/>
  <c r="H49" i="2"/>
  <c r="J49" i="2" s="1"/>
  <c r="F49" i="2"/>
  <c r="R48" i="2"/>
  <c r="Q48" i="2"/>
  <c r="H48" i="2"/>
  <c r="J48" i="2" s="1"/>
  <c r="F48" i="2"/>
  <c r="R47" i="2"/>
  <c r="Q47" i="2"/>
  <c r="H47" i="2"/>
  <c r="J47" i="2" s="1"/>
  <c r="F47" i="2"/>
  <c r="R46" i="2"/>
  <c r="Q46" i="2"/>
  <c r="H46" i="2"/>
  <c r="J46" i="2" s="1"/>
  <c r="F46" i="2"/>
  <c r="R45" i="2"/>
  <c r="Q45" i="2"/>
  <c r="H45" i="2"/>
  <c r="J45" i="2" s="1"/>
  <c r="F45" i="2"/>
  <c r="R44" i="2"/>
  <c r="Q44" i="2"/>
  <c r="H44" i="2"/>
  <c r="J44" i="2" s="1"/>
  <c r="F44" i="2"/>
  <c r="R43" i="2"/>
  <c r="Q43" i="2"/>
  <c r="H43" i="2"/>
  <c r="J43" i="2" s="1"/>
  <c r="F43" i="2"/>
  <c r="R42" i="2"/>
  <c r="Q42" i="2"/>
  <c r="H42" i="2"/>
  <c r="I42" i="2" s="1"/>
  <c r="F42" i="2"/>
  <c r="R41" i="2"/>
  <c r="Q41" i="2"/>
  <c r="H41" i="2"/>
  <c r="I41" i="2" s="1"/>
  <c r="F41" i="2"/>
  <c r="R40" i="2"/>
  <c r="Q40" i="2"/>
  <c r="H40" i="2"/>
  <c r="I40" i="2" s="1"/>
  <c r="F40" i="2"/>
  <c r="R39" i="2"/>
  <c r="Q39" i="2"/>
  <c r="H39" i="2"/>
  <c r="I39" i="2" s="1"/>
  <c r="F39" i="2"/>
  <c r="R38" i="2"/>
  <c r="Q38" i="2"/>
  <c r="H38" i="2"/>
  <c r="I38" i="2" s="1"/>
  <c r="F38" i="2"/>
  <c r="R37" i="2"/>
  <c r="Q37" i="2"/>
  <c r="H37" i="2"/>
  <c r="I37" i="2" s="1"/>
  <c r="F37" i="2"/>
  <c r="R36" i="2"/>
  <c r="Q36" i="2"/>
  <c r="H36" i="2"/>
  <c r="I36" i="2" s="1"/>
  <c r="F36" i="2"/>
  <c r="R35" i="2"/>
  <c r="Q35" i="2"/>
  <c r="H35" i="2"/>
  <c r="I35" i="2" s="1"/>
  <c r="F35" i="2"/>
  <c r="R34" i="2"/>
  <c r="Q34" i="2"/>
  <c r="H34" i="2"/>
  <c r="I34" i="2" s="1"/>
  <c r="F34" i="2"/>
  <c r="R33" i="2"/>
  <c r="Q33" i="2"/>
  <c r="H33" i="2"/>
  <c r="I33" i="2" s="1"/>
  <c r="F33" i="2"/>
  <c r="R32" i="2"/>
  <c r="Q32" i="2"/>
  <c r="H32" i="2"/>
  <c r="I32" i="2" s="1"/>
  <c r="F32" i="2"/>
  <c r="R31" i="2"/>
  <c r="Q31" i="2"/>
  <c r="F31" i="2"/>
  <c r="R30" i="2"/>
  <c r="Q30" i="2"/>
  <c r="O30" i="2"/>
  <c r="H30" i="2"/>
  <c r="J30" i="2" s="1"/>
  <c r="F30" i="2"/>
  <c r="R29" i="2"/>
  <c r="Q29" i="2"/>
  <c r="O29" i="2"/>
  <c r="H29" i="2"/>
  <c r="J29" i="2" s="1"/>
  <c r="F29" i="2"/>
  <c r="R28" i="2"/>
  <c r="Q28" i="2"/>
  <c r="O28" i="2"/>
  <c r="H28" i="2"/>
  <c r="J28" i="2" s="1"/>
  <c r="F28" i="2"/>
  <c r="R27" i="2"/>
  <c r="Q27" i="2"/>
  <c r="O27" i="2"/>
  <c r="H27" i="2"/>
  <c r="J27" i="2" s="1"/>
  <c r="F27" i="2"/>
  <c r="R26" i="2"/>
  <c r="Q26" i="2"/>
  <c r="O26" i="2"/>
  <c r="H26" i="2"/>
  <c r="J26" i="2" s="1"/>
  <c r="F26" i="2"/>
  <c r="R25" i="2"/>
  <c r="Q25" i="2"/>
  <c r="O25" i="2"/>
  <c r="H25" i="2"/>
  <c r="J25" i="2" s="1"/>
  <c r="F25" i="2"/>
  <c r="R24" i="2"/>
  <c r="Q24" i="2"/>
  <c r="O24" i="2"/>
  <c r="H24" i="2"/>
  <c r="J24" i="2" s="1"/>
  <c r="F24" i="2"/>
  <c r="R23" i="2"/>
  <c r="Q23" i="2"/>
  <c r="O23" i="2"/>
  <c r="H23" i="2"/>
  <c r="J23" i="2" s="1"/>
  <c r="F23" i="2"/>
  <c r="R22" i="2"/>
  <c r="Q22" i="2"/>
  <c r="O22" i="2"/>
  <c r="H22" i="2"/>
  <c r="J22" i="2" s="1"/>
  <c r="F22" i="2"/>
  <c r="R21" i="2"/>
  <c r="Q21" i="2"/>
  <c r="O21" i="2"/>
  <c r="H21" i="2"/>
  <c r="J21" i="2" s="1"/>
  <c r="F21" i="2"/>
  <c r="R20" i="2"/>
  <c r="Q20" i="2"/>
  <c r="O20" i="2"/>
  <c r="H20" i="2"/>
  <c r="J20" i="2" s="1"/>
  <c r="F20" i="2"/>
  <c r="R19" i="2"/>
  <c r="Q19" i="2"/>
  <c r="O19" i="2"/>
  <c r="H19" i="2"/>
  <c r="J19" i="2" s="1"/>
  <c r="F19" i="2"/>
  <c r="R18" i="2"/>
  <c r="Q18" i="2"/>
  <c r="O18" i="2"/>
  <c r="H18" i="2"/>
  <c r="J18" i="2" s="1"/>
  <c r="F18" i="2"/>
  <c r="R17" i="2"/>
  <c r="Q17" i="2"/>
  <c r="O17" i="2"/>
  <c r="H17" i="2"/>
  <c r="J17" i="2" s="1"/>
  <c r="F17" i="2"/>
  <c r="R16" i="2"/>
  <c r="Q16" i="2"/>
  <c r="O16" i="2"/>
  <c r="H16" i="2"/>
  <c r="J16" i="2" s="1"/>
  <c r="F16" i="2"/>
  <c r="R15" i="2"/>
  <c r="Q15" i="2"/>
  <c r="O15" i="2"/>
  <c r="H15" i="2"/>
  <c r="F15" i="2"/>
  <c r="R14" i="2"/>
  <c r="Q14" i="2"/>
  <c r="O14" i="2"/>
  <c r="H14" i="2"/>
  <c r="I14" i="2" s="1"/>
  <c r="F14" i="2"/>
  <c r="R13" i="2"/>
  <c r="Q13" i="2"/>
  <c r="O13" i="2"/>
  <c r="H13" i="2"/>
  <c r="I13" i="2" s="1"/>
  <c r="F13" i="2"/>
  <c r="R12" i="2"/>
  <c r="Q12" i="2"/>
  <c r="O12" i="2"/>
  <c r="H12" i="2"/>
  <c r="I12" i="2" s="1"/>
  <c r="F12" i="2"/>
  <c r="R11" i="2"/>
  <c r="Q11" i="2"/>
  <c r="O11" i="2"/>
  <c r="H11" i="2"/>
  <c r="I11" i="2" s="1"/>
  <c r="F11" i="2"/>
  <c r="R10" i="2"/>
  <c r="Q10" i="2"/>
  <c r="O10" i="2"/>
  <c r="H10" i="2"/>
  <c r="I10" i="2" s="1"/>
  <c r="F10" i="2"/>
  <c r="R9" i="2"/>
  <c r="Q9" i="2"/>
  <c r="O9" i="2"/>
  <c r="H9" i="2"/>
  <c r="I9" i="2" s="1"/>
  <c r="F9" i="2"/>
  <c r="R8" i="2"/>
  <c r="Q8" i="2"/>
  <c r="O8" i="2"/>
  <c r="H8" i="2"/>
  <c r="I8" i="2" s="1"/>
  <c r="F8" i="2"/>
  <c r="R7" i="2"/>
  <c r="Q7" i="2"/>
  <c r="O7" i="2"/>
  <c r="H7" i="2"/>
  <c r="I7" i="2" s="1"/>
  <c r="F7" i="2"/>
  <c r="R6" i="2"/>
  <c r="Q6" i="2"/>
  <c r="O6" i="2"/>
  <c r="H6" i="2"/>
  <c r="I6" i="2" s="1"/>
  <c r="F6" i="2"/>
  <c r="R5" i="2"/>
  <c r="Q5" i="2"/>
  <c r="O5" i="2"/>
  <c r="H5" i="2"/>
  <c r="I5" i="2" s="1"/>
  <c r="F5" i="2"/>
  <c r="R4" i="2"/>
  <c r="Q4" i="2"/>
  <c r="O4" i="2"/>
  <c r="H4" i="2"/>
  <c r="I4" i="2" s="1"/>
  <c r="F4" i="2"/>
  <c r="R3" i="2"/>
  <c r="Q3" i="2"/>
  <c r="O3" i="2"/>
  <c r="H3" i="2"/>
  <c r="F3" i="2"/>
  <c r="F5" i="8" l="1"/>
  <c r="F25" i="8"/>
  <c r="F6" i="8"/>
  <c r="F26" i="8"/>
  <c r="F7" i="8"/>
  <c r="F27" i="8"/>
  <c r="F8" i="8"/>
  <c r="F28" i="8"/>
  <c r="F9" i="8"/>
  <c r="F29" i="8"/>
  <c r="F10" i="8"/>
  <c r="F30" i="8"/>
  <c r="F11" i="8"/>
  <c r="F31" i="8"/>
  <c r="F13" i="8"/>
  <c r="F14" i="8"/>
  <c r="F22" i="8"/>
  <c r="F24" i="8"/>
  <c r="F17" i="8"/>
  <c r="F16" i="8"/>
  <c r="F12" i="8"/>
  <c r="F32" i="8"/>
  <c r="F15" i="8"/>
  <c r="F21" i="8"/>
  <c r="F23" i="8"/>
  <c r="F18" i="8"/>
  <c r="F19" i="8"/>
  <c r="F20" i="8"/>
  <c r="E5" i="8"/>
  <c r="E25" i="8"/>
  <c r="E6" i="8"/>
  <c r="E26" i="8"/>
  <c r="E28" i="8"/>
  <c r="E10" i="8"/>
  <c r="E11" i="8"/>
  <c r="E12" i="8"/>
  <c r="E19" i="8"/>
  <c r="E22" i="8"/>
  <c r="E7" i="8"/>
  <c r="E27" i="8"/>
  <c r="E8" i="8"/>
  <c r="E29" i="8"/>
  <c r="E30" i="8"/>
  <c r="E31" i="8"/>
  <c r="E32" i="8"/>
  <c r="E21" i="8"/>
  <c r="E9" i="8"/>
  <c r="E13" i="8"/>
  <c r="E14" i="8"/>
  <c r="E15" i="8"/>
  <c r="E16" i="8"/>
  <c r="E17" i="8"/>
  <c r="E20" i="8"/>
  <c r="E23" i="8"/>
  <c r="E18" i="8"/>
  <c r="E24" i="8"/>
  <c r="D5" i="8"/>
  <c r="D25" i="8"/>
  <c r="D6" i="8"/>
  <c r="D26" i="8"/>
  <c r="D27" i="8"/>
  <c r="D31" i="8"/>
  <c r="D32" i="8"/>
  <c r="D20" i="8"/>
  <c r="D23" i="8"/>
  <c r="D7" i="8"/>
  <c r="D8" i="8"/>
  <c r="D28" i="8"/>
  <c r="D9" i="8"/>
  <c r="D29" i="8"/>
  <c r="D10" i="8"/>
  <c r="D30" i="8"/>
  <c r="D11" i="8"/>
  <c r="D12" i="8"/>
  <c r="D21" i="8"/>
  <c r="D24" i="8"/>
  <c r="D13" i="8"/>
  <c r="D14" i="8"/>
  <c r="D15" i="8"/>
  <c r="D16" i="8"/>
  <c r="D17" i="8"/>
  <c r="D18" i="8"/>
  <c r="D19" i="8"/>
  <c r="D22" i="8"/>
  <c r="C5" i="8"/>
  <c r="C25" i="8"/>
  <c r="C30" i="8"/>
  <c r="C31" i="8"/>
  <c r="C32" i="8"/>
  <c r="C14" i="8"/>
  <c r="C23" i="8"/>
  <c r="C24" i="8"/>
  <c r="C6" i="8"/>
  <c r="C26" i="8"/>
  <c r="C7" i="8"/>
  <c r="C27" i="8"/>
  <c r="C8" i="8"/>
  <c r="C28" i="8"/>
  <c r="C9" i="8"/>
  <c r="C29" i="8"/>
  <c r="C10" i="8"/>
  <c r="C11" i="8"/>
  <c r="C12" i="8"/>
  <c r="C13" i="8"/>
  <c r="C21" i="8"/>
  <c r="C15" i="8"/>
  <c r="C16" i="8"/>
  <c r="C17" i="8"/>
  <c r="C18" i="8"/>
  <c r="C19" i="8"/>
  <c r="C20" i="8"/>
  <c r="C22" i="8"/>
  <c r="B5" i="8"/>
  <c r="B25" i="8"/>
  <c r="B6" i="8"/>
  <c r="B26" i="8"/>
  <c r="B27" i="8"/>
  <c r="B28" i="8"/>
  <c r="B9" i="8"/>
  <c r="B29" i="8"/>
  <c r="B10" i="8"/>
  <c r="B31" i="8"/>
  <c r="B12" i="8"/>
  <c r="B14" i="8"/>
  <c r="B19" i="8"/>
  <c r="B22" i="8"/>
  <c r="B16" i="8"/>
  <c r="B23" i="8"/>
  <c r="B7" i="8"/>
  <c r="B30" i="8"/>
  <c r="B32" i="8"/>
  <c r="B15" i="8"/>
  <c r="B18" i="8"/>
  <c r="B21" i="8"/>
  <c r="B8" i="8"/>
  <c r="B11" i="8"/>
  <c r="B13" i="8"/>
  <c r="B17" i="8"/>
  <c r="B20" i="8"/>
  <c r="B24" i="8"/>
  <c r="P24" i="2"/>
  <c r="P29" i="2"/>
  <c r="P46" i="2"/>
  <c r="P74" i="2"/>
  <c r="P50" i="2"/>
  <c r="P78" i="2"/>
  <c r="P19" i="2"/>
  <c r="P26" i="2"/>
  <c r="P43" i="2"/>
  <c r="P57" i="2"/>
  <c r="P71" i="2"/>
  <c r="P85" i="2"/>
  <c r="P55" i="2"/>
  <c r="P83" i="2"/>
  <c r="P27" i="2"/>
  <c r="P44" i="2"/>
  <c r="P58" i="2"/>
  <c r="P72" i="2"/>
  <c r="P86" i="2"/>
  <c r="P16" i="2"/>
  <c r="P30" i="2"/>
  <c r="P47" i="2"/>
  <c r="P75" i="2"/>
  <c r="P28" i="2"/>
  <c r="P45" i="2"/>
  <c r="P73" i="2"/>
  <c r="P17" i="2"/>
  <c r="P48" i="2"/>
  <c r="P76" i="2"/>
  <c r="P18" i="2"/>
  <c r="P49" i="2"/>
  <c r="P77" i="2"/>
  <c r="P21" i="2"/>
  <c r="P52" i="2"/>
  <c r="P80" i="2"/>
  <c r="P22" i="2"/>
  <c r="P53" i="2"/>
  <c r="P81" i="2"/>
  <c r="P25" i="2"/>
  <c r="P56" i="2"/>
  <c r="P84" i="2"/>
  <c r="P20" i="2"/>
  <c r="P51" i="2"/>
  <c r="P79" i="2"/>
  <c r="P23" i="2"/>
  <c r="P54" i="2"/>
  <c r="P82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J96" i="2"/>
  <c r="I96" i="2"/>
  <c r="J92" i="2"/>
  <c r="I92" i="2"/>
  <c r="J95" i="2"/>
  <c r="I95" i="2"/>
  <c r="J88" i="2"/>
  <c r="I88" i="2"/>
  <c r="J91" i="2"/>
  <c r="I91" i="2"/>
  <c r="J66" i="2"/>
  <c r="I66" i="2"/>
  <c r="J94" i="2"/>
  <c r="I94" i="2"/>
  <c r="J98" i="2"/>
  <c r="I98" i="2"/>
  <c r="I115" i="2"/>
  <c r="P115" i="2" s="1"/>
  <c r="I129" i="2"/>
  <c r="P129" i="2" s="1"/>
  <c r="I143" i="2"/>
  <c r="P143" i="2" s="1"/>
  <c r="I157" i="2"/>
  <c r="P157" i="2" s="1"/>
  <c r="I171" i="2"/>
  <c r="P171" i="2" s="1"/>
  <c r="I185" i="2"/>
  <c r="P185" i="2" s="1"/>
  <c r="I199" i="2"/>
  <c r="P199" i="2" s="1"/>
  <c r="I213" i="2"/>
  <c r="P213" i="2" s="1"/>
  <c r="I227" i="2"/>
  <c r="P227" i="2" s="1"/>
  <c r="I241" i="2"/>
  <c r="P241" i="2" s="1"/>
  <c r="I255" i="2"/>
  <c r="P255" i="2" s="1"/>
  <c r="I269" i="2"/>
  <c r="P269" i="2" s="1"/>
  <c r="I283" i="2"/>
  <c r="P283" i="2" s="1"/>
  <c r="I297" i="2"/>
  <c r="P297" i="2" s="1"/>
  <c r="I160" i="2"/>
  <c r="P160" i="2" s="1"/>
  <c r="I202" i="2"/>
  <c r="P202" i="2" s="1"/>
  <c r="I230" i="2"/>
  <c r="P230" i="2" s="1"/>
  <c r="I272" i="2"/>
  <c r="P272" i="2" s="1"/>
  <c r="I300" i="2"/>
  <c r="P300" i="2" s="1"/>
  <c r="I147" i="2"/>
  <c r="P147" i="2" s="1"/>
  <c r="I189" i="2"/>
  <c r="P189" i="2" s="1"/>
  <c r="I217" i="2"/>
  <c r="P217" i="2" s="1"/>
  <c r="I245" i="2"/>
  <c r="P245" i="2" s="1"/>
  <c r="I287" i="2"/>
  <c r="P287" i="2" s="1"/>
  <c r="I135" i="2"/>
  <c r="P135" i="2" s="1"/>
  <c r="I191" i="2"/>
  <c r="P191" i="2" s="1"/>
  <c r="I233" i="2"/>
  <c r="P233" i="2" s="1"/>
  <c r="I275" i="2"/>
  <c r="P275" i="2" s="1"/>
  <c r="I122" i="2"/>
  <c r="P122" i="2" s="1"/>
  <c r="I150" i="2"/>
  <c r="P150" i="2" s="1"/>
  <c r="I206" i="2"/>
  <c r="P206" i="2" s="1"/>
  <c r="I248" i="2"/>
  <c r="P248" i="2" s="1"/>
  <c r="I165" i="2"/>
  <c r="P165" i="2" s="1"/>
  <c r="I116" i="2"/>
  <c r="P116" i="2" s="1"/>
  <c r="I130" i="2"/>
  <c r="P130" i="2" s="1"/>
  <c r="I144" i="2"/>
  <c r="P144" i="2" s="1"/>
  <c r="I158" i="2"/>
  <c r="P158" i="2" s="1"/>
  <c r="I172" i="2"/>
  <c r="P172" i="2" s="1"/>
  <c r="I186" i="2"/>
  <c r="P186" i="2" s="1"/>
  <c r="I200" i="2"/>
  <c r="P200" i="2" s="1"/>
  <c r="I214" i="2"/>
  <c r="P214" i="2" s="1"/>
  <c r="I228" i="2"/>
  <c r="P228" i="2" s="1"/>
  <c r="I242" i="2"/>
  <c r="P242" i="2" s="1"/>
  <c r="I256" i="2"/>
  <c r="P256" i="2" s="1"/>
  <c r="I270" i="2"/>
  <c r="P270" i="2" s="1"/>
  <c r="I284" i="2"/>
  <c r="P284" i="2" s="1"/>
  <c r="I298" i="2"/>
  <c r="P298" i="2" s="1"/>
  <c r="I117" i="2"/>
  <c r="P117" i="2" s="1"/>
  <c r="I131" i="2"/>
  <c r="P131" i="2" s="1"/>
  <c r="I145" i="2"/>
  <c r="P145" i="2" s="1"/>
  <c r="I159" i="2"/>
  <c r="P159" i="2" s="1"/>
  <c r="I173" i="2"/>
  <c r="P173" i="2" s="1"/>
  <c r="I187" i="2"/>
  <c r="P187" i="2" s="1"/>
  <c r="I201" i="2"/>
  <c r="P201" i="2" s="1"/>
  <c r="I215" i="2"/>
  <c r="P215" i="2" s="1"/>
  <c r="I229" i="2"/>
  <c r="P229" i="2" s="1"/>
  <c r="I243" i="2"/>
  <c r="P243" i="2" s="1"/>
  <c r="I257" i="2"/>
  <c r="P257" i="2" s="1"/>
  <c r="I271" i="2"/>
  <c r="P271" i="2" s="1"/>
  <c r="I285" i="2"/>
  <c r="P285" i="2" s="1"/>
  <c r="I299" i="2"/>
  <c r="P299" i="2" s="1"/>
  <c r="I118" i="2"/>
  <c r="P118" i="2" s="1"/>
  <c r="I132" i="2"/>
  <c r="P132" i="2" s="1"/>
  <c r="I146" i="2"/>
  <c r="P146" i="2" s="1"/>
  <c r="I174" i="2"/>
  <c r="P174" i="2" s="1"/>
  <c r="I188" i="2"/>
  <c r="P188" i="2" s="1"/>
  <c r="I216" i="2"/>
  <c r="P216" i="2" s="1"/>
  <c r="I244" i="2"/>
  <c r="P244" i="2" s="1"/>
  <c r="I258" i="2"/>
  <c r="P258" i="2" s="1"/>
  <c r="I286" i="2"/>
  <c r="P286" i="2" s="1"/>
  <c r="I119" i="2"/>
  <c r="P119" i="2" s="1"/>
  <c r="I133" i="2"/>
  <c r="P133" i="2" s="1"/>
  <c r="I161" i="2"/>
  <c r="P161" i="2" s="1"/>
  <c r="I175" i="2"/>
  <c r="P175" i="2" s="1"/>
  <c r="I203" i="2"/>
  <c r="P203" i="2" s="1"/>
  <c r="I231" i="2"/>
  <c r="P231" i="2" s="1"/>
  <c r="I259" i="2"/>
  <c r="P259" i="2" s="1"/>
  <c r="I273" i="2"/>
  <c r="P273" i="2" s="1"/>
  <c r="I301" i="2"/>
  <c r="P301" i="2" s="1"/>
  <c r="I121" i="2"/>
  <c r="P121" i="2" s="1"/>
  <c r="I149" i="2"/>
  <c r="P149" i="2" s="1"/>
  <c r="I177" i="2"/>
  <c r="P177" i="2" s="1"/>
  <c r="I205" i="2"/>
  <c r="P205" i="2" s="1"/>
  <c r="I219" i="2"/>
  <c r="P219" i="2" s="1"/>
  <c r="I261" i="2"/>
  <c r="P261" i="2" s="1"/>
  <c r="I289" i="2"/>
  <c r="P289" i="2" s="1"/>
  <c r="I136" i="2"/>
  <c r="P136" i="2" s="1"/>
  <c r="I164" i="2"/>
  <c r="P164" i="2" s="1"/>
  <c r="I178" i="2"/>
  <c r="P178" i="2" s="1"/>
  <c r="I220" i="2"/>
  <c r="P220" i="2" s="1"/>
  <c r="I234" i="2"/>
  <c r="P234" i="2" s="1"/>
  <c r="I262" i="2"/>
  <c r="P262" i="2" s="1"/>
  <c r="I276" i="2"/>
  <c r="P276" i="2" s="1"/>
  <c r="I123" i="2"/>
  <c r="P123" i="2" s="1"/>
  <c r="I137" i="2"/>
  <c r="P137" i="2" s="1"/>
  <c r="I120" i="2"/>
  <c r="P120" i="2" s="1"/>
  <c r="I134" i="2"/>
  <c r="P134" i="2" s="1"/>
  <c r="I148" i="2"/>
  <c r="P148" i="2" s="1"/>
  <c r="I162" i="2"/>
  <c r="P162" i="2" s="1"/>
  <c r="I176" i="2"/>
  <c r="P176" i="2" s="1"/>
  <c r="I190" i="2"/>
  <c r="P190" i="2" s="1"/>
  <c r="I204" i="2"/>
  <c r="P204" i="2" s="1"/>
  <c r="I218" i="2"/>
  <c r="P218" i="2" s="1"/>
  <c r="I232" i="2"/>
  <c r="P232" i="2" s="1"/>
  <c r="I246" i="2"/>
  <c r="P246" i="2" s="1"/>
  <c r="I260" i="2"/>
  <c r="P260" i="2" s="1"/>
  <c r="I274" i="2"/>
  <c r="P274" i="2" s="1"/>
  <c r="I288" i="2"/>
  <c r="P288" i="2" s="1"/>
  <c r="I302" i="2"/>
  <c r="P302" i="2" s="1"/>
  <c r="I163" i="2"/>
  <c r="P163" i="2" s="1"/>
  <c r="I247" i="2"/>
  <c r="P247" i="2" s="1"/>
  <c r="I192" i="2"/>
  <c r="P192" i="2" s="1"/>
  <c r="I290" i="2"/>
  <c r="P290" i="2" s="1"/>
  <c r="I141" i="2"/>
  <c r="P141" i="2" s="1"/>
  <c r="I180" i="2"/>
  <c r="P180" i="2" s="1"/>
  <c r="I210" i="2"/>
  <c r="P210" i="2" s="1"/>
  <c r="I240" i="2"/>
  <c r="P240" i="2" s="1"/>
  <c r="I278" i="2"/>
  <c r="P278" i="2" s="1"/>
  <c r="I142" i="2"/>
  <c r="P142" i="2" s="1"/>
  <c r="I181" i="2"/>
  <c r="P181" i="2" s="1"/>
  <c r="I211" i="2"/>
  <c r="P211" i="2" s="1"/>
  <c r="I249" i="2"/>
  <c r="P249" i="2" s="1"/>
  <c r="I279" i="2"/>
  <c r="P279" i="2" s="1"/>
  <c r="I151" i="2"/>
  <c r="P151" i="2" s="1"/>
  <c r="I212" i="2"/>
  <c r="P212" i="2" s="1"/>
  <c r="I250" i="2"/>
  <c r="P250" i="2" s="1"/>
  <c r="I183" i="2"/>
  <c r="P183" i="2" s="1"/>
  <c r="I251" i="2"/>
  <c r="P251" i="2" s="1"/>
  <c r="I184" i="2"/>
  <c r="P184" i="2" s="1"/>
  <c r="I252" i="2"/>
  <c r="P252" i="2" s="1"/>
  <c r="I3" i="2"/>
  <c r="I193" i="2"/>
  <c r="P193" i="2" s="1"/>
  <c r="I291" i="2"/>
  <c r="P291" i="2" s="1"/>
  <c r="I155" i="2"/>
  <c r="P155" i="2" s="1"/>
  <c r="I224" i="2"/>
  <c r="P224" i="2" s="1"/>
  <c r="I292" i="2"/>
  <c r="P292" i="2" s="1"/>
  <c r="I156" i="2"/>
  <c r="P156" i="2" s="1"/>
  <c r="I225" i="2"/>
  <c r="P225" i="2" s="1"/>
  <c r="I126" i="2"/>
  <c r="P126" i="2" s="1"/>
  <c r="I196" i="2"/>
  <c r="P196" i="2" s="1"/>
  <c r="I294" i="2"/>
  <c r="P294" i="2" s="1"/>
  <c r="I235" i="2"/>
  <c r="P235" i="2" s="1"/>
  <c r="I128" i="2"/>
  <c r="P128" i="2" s="1"/>
  <c r="I198" i="2"/>
  <c r="P198" i="2" s="1"/>
  <c r="I266" i="2"/>
  <c r="P266" i="2" s="1"/>
  <c r="I169" i="2"/>
  <c r="P169" i="2" s="1"/>
  <c r="I237" i="2"/>
  <c r="P237" i="2" s="1"/>
  <c r="I208" i="2"/>
  <c r="P208" i="2" s="1"/>
  <c r="I268" i="2"/>
  <c r="P268" i="2" s="1"/>
  <c r="I179" i="2"/>
  <c r="P179" i="2" s="1"/>
  <c r="I239" i="2"/>
  <c r="P239" i="2" s="1"/>
  <c r="I140" i="2"/>
  <c r="P140" i="2" s="1"/>
  <c r="I182" i="2"/>
  <c r="P182" i="2" s="1"/>
  <c r="I280" i="2"/>
  <c r="P280" i="2" s="1"/>
  <c r="I152" i="2"/>
  <c r="P152" i="2" s="1"/>
  <c r="I221" i="2"/>
  <c r="P221" i="2" s="1"/>
  <c r="I281" i="2"/>
  <c r="P281" i="2" s="1"/>
  <c r="I153" i="2"/>
  <c r="P153" i="2" s="1"/>
  <c r="I222" i="2"/>
  <c r="P222" i="2" s="1"/>
  <c r="I282" i="2"/>
  <c r="P282" i="2" s="1"/>
  <c r="I154" i="2"/>
  <c r="P154" i="2" s="1"/>
  <c r="I223" i="2"/>
  <c r="P223" i="2" s="1"/>
  <c r="I253" i="2"/>
  <c r="P253" i="2" s="1"/>
  <c r="I124" i="2"/>
  <c r="P124" i="2" s="1"/>
  <c r="I194" i="2"/>
  <c r="P194" i="2" s="1"/>
  <c r="I254" i="2"/>
  <c r="P254" i="2" s="1"/>
  <c r="I125" i="2"/>
  <c r="P125" i="2" s="1"/>
  <c r="I195" i="2"/>
  <c r="P195" i="2" s="1"/>
  <c r="I293" i="2"/>
  <c r="P293" i="2" s="1"/>
  <c r="I166" i="2"/>
  <c r="P166" i="2" s="1"/>
  <c r="I226" i="2"/>
  <c r="P226" i="2" s="1"/>
  <c r="I127" i="2"/>
  <c r="P127" i="2" s="1"/>
  <c r="I167" i="2"/>
  <c r="P167" i="2" s="1"/>
  <c r="I197" i="2"/>
  <c r="P197" i="2" s="1"/>
  <c r="I265" i="2"/>
  <c r="P265" i="2" s="1"/>
  <c r="I295" i="2"/>
  <c r="P295" i="2" s="1"/>
  <c r="I168" i="2"/>
  <c r="P168" i="2" s="1"/>
  <c r="I236" i="2"/>
  <c r="P236" i="2" s="1"/>
  <c r="I296" i="2"/>
  <c r="P296" i="2" s="1"/>
  <c r="I138" i="2"/>
  <c r="P138" i="2" s="1"/>
  <c r="I207" i="2"/>
  <c r="P207" i="2" s="1"/>
  <c r="I267" i="2"/>
  <c r="P267" i="2" s="1"/>
  <c r="I139" i="2"/>
  <c r="P139" i="2" s="1"/>
  <c r="I170" i="2"/>
  <c r="P170" i="2" s="1"/>
  <c r="I238" i="2"/>
  <c r="P238" i="2" s="1"/>
  <c r="I209" i="2"/>
  <c r="P209" i="2" s="1"/>
  <c r="I263" i="2"/>
  <c r="P263" i="2" s="1"/>
  <c r="I264" i="2"/>
  <c r="P264" i="2" s="1"/>
  <c r="I277" i="2"/>
  <c r="P277" i="2" s="1"/>
  <c r="J90" i="2"/>
  <c r="I90" i="2"/>
  <c r="J93" i="2"/>
  <c r="I93" i="2"/>
  <c r="J59" i="2"/>
  <c r="I59" i="2"/>
  <c r="J87" i="2"/>
  <c r="I87" i="2"/>
  <c r="J65" i="2"/>
  <c r="I65" i="2"/>
  <c r="J60" i="2"/>
  <c r="I60" i="2"/>
  <c r="J97" i="2"/>
  <c r="I97" i="2"/>
  <c r="J89" i="2"/>
  <c r="I89" i="2"/>
  <c r="J63" i="2"/>
  <c r="P63" i="2" s="1"/>
  <c r="J8" i="2"/>
  <c r="P8" i="2" s="1"/>
  <c r="J33" i="2"/>
  <c r="P33" i="2" s="1"/>
  <c r="J11" i="2"/>
  <c r="P11" i="2" s="1"/>
  <c r="J36" i="2"/>
  <c r="P36" i="2" s="1"/>
  <c r="J3" i="2"/>
  <c r="J14" i="2"/>
  <c r="P14" i="2" s="1"/>
  <c r="J39" i="2"/>
  <c r="P39" i="2" s="1"/>
  <c r="J6" i="2"/>
  <c r="P6" i="2" s="1"/>
  <c r="J9" i="2"/>
  <c r="P9" i="2" s="1"/>
  <c r="J34" i="2"/>
  <c r="P34" i="2" s="1"/>
  <c r="J64" i="2"/>
  <c r="P64" i="2" s="1"/>
  <c r="J31" i="2"/>
  <c r="P31" i="2" s="1"/>
  <c r="J12" i="2"/>
  <c r="P12" i="2" s="1"/>
  <c r="J37" i="2"/>
  <c r="P37" i="2" s="1"/>
  <c r="J40" i="2"/>
  <c r="P40" i="2" s="1"/>
  <c r="J42" i="2"/>
  <c r="P42" i="2" s="1"/>
  <c r="J32" i="2"/>
  <c r="P32" i="2" s="1"/>
  <c r="J62" i="2"/>
  <c r="P62" i="2" s="1"/>
  <c r="J70" i="2"/>
  <c r="P70" i="2" s="1"/>
  <c r="J10" i="2"/>
  <c r="P10" i="2" s="1"/>
  <c r="J13" i="2"/>
  <c r="P13" i="2" s="1"/>
  <c r="J38" i="2"/>
  <c r="P38" i="2" s="1"/>
  <c r="J61" i="2"/>
  <c r="P61" i="2" s="1"/>
  <c r="J4" i="2"/>
  <c r="P4" i="2" s="1"/>
  <c r="J35" i="2"/>
  <c r="P35" i="2" s="1"/>
  <c r="J69" i="2"/>
  <c r="P69" i="2" s="1"/>
  <c r="J15" i="2"/>
  <c r="P15" i="2" s="1"/>
  <c r="J7" i="2"/>
  <c r="P7" i="2" s="1"/>
  <c r="J67" i="2"/>
  <c r="P67" i="2" s="1"/>
  <c r="J5" i="2"/>
  <c r="P5" i="2" s="1"/>
  <c r="J41" i="2"/>
  <c r="P41" i="2" s="1"/>
  <c r="J68" i="2"/>
  <c r="P68" i="2" s="1"/>
  <c r="K11" i="10" l="1" a="1"/>
  <c r="K11" i="10" s="1"/>
  <c r="K10" i="10" a="1"/>
  <c r="K10" i="10" s="1"/>
  <c r="K3" i="10" a="1"/>
  <c r="K3" i="10" s="1"/>
  <c r="K8" i="10" a="1"/>
  <c r="K8" i="10" s="1"/>
  <c r="K18" i="10" a="1"/>
  <c r="K18" i="10" s="1"/>
  <c r="K5" i="10" a="1"/>
  <c r="K5" i="10" s="1"/>
  <c r="K22" i="10" a="1"/>
  <c r="K22" i="10" s="1"/>
  <c r="K13" i="10" a="1"/>
  <c r="K13" i="10" s="1"/>
  <c r="K4" i="10" a="1"/>
  <c r="K4" i="10" s="1"/>
  <c r="K9" i="10" a="1"/>
  <c r="K9" i="10" s="1"/>
  <c r="K25" i="10" a="1"/>
  <c r="K25" i="10" s="1"/>
  <c r="K23" i="10" a="1"/>
  <c r="K23" i="10" s="1"/>
  <c r="K7" i="10" a="1"/>
  <c r="K7" i="10" s="1"/>
  <c r="K27" i="10" a="1"/>
  <c r="K27" i="10" s="1"/>
  <c r="K24" i="10" a="1"/>
  <c r="K24" i="10" s="1"/>
  <c r="K17" i="10" a="1"/>
  <c r="K17" i="10" s="1"/>
  <c r="K19" i="10" a="1"/>
  <c r="K19" i="10" s="1"/>
  <c r="K20" i="10" a="1"/>
  <c r="K20" i="10" s="1"/>
  <c r="K14" i="10" a="1"/>
  <c r="K14" i="10" s="1"/>
  <c r="K28" i="10" a="1"/>
  <c r="K28" i="10" s="1"/>
  <c r="K2" i="10" a="1"/>
  <c r="K2" i="10" s="1"/>
  <c r="K29" i="10" a="1"/>
  <c r="K29" i="10" s="1"/>
  <c r="K21" i="10" a="1"/>
  <c r="K21" i="10" s="1"/>
  <c r="K26" i="10" a="1"/>
  <c r="K26" i="10" s="1"/>
  <c r="K16" i="10" a="1"/>
  <c r="K16" i="10" s="1"/>
  <c r="K12" i="10" a="1"/>
  <c r="K12" i="10" s="1"/>
  <c r="K6" i="10" a="1"/>
  <c r="K6" i="10" s="1"/>
  <c r="K15" i="10" a="1"/>
  <c r="K15" i="10" s="1"/>
  <c r="L25" i="10" a="1"/>
  <c r="L25" i="10" s="1"/>
  <c r="L4" i="10" a="1"/>
  <c r="L4" i="10" s="1"/>
  <c r="L17" i="10" a="1"/>
  <c r="L17" i="10" s="1"/>
  <c r="L10" i="10" a="1"/>
  <c r="L10" i="10" s="1"/>
  <c r="L23" i="10" a="1"/>
  <c r="L23" i="10" s="1"/>
  <c r="L26" i="10" a="1"/>
  <c r="L26" i="10" s="1"/>
  <c r="L5" i="10" a="1"/>
  <c r="L5" i="10" s="1"/>
  <c r="L24" i="10" a="1"/>
  <c r="L24" i="10" s="1"/>
  <c r="L14" i="10" a="1"/>
  <c r="L14" i="10" s="1"/>
  <c r="L2" i="10" a="1"/>
  <c r="L2" i="10" s="1"/>
  <c r="L8" i="10" a="1"/>
  <c r="L8" i="10" s="1"/>
  <c r="L9" i="10" a="1"/>
  <c r="L9" i="10" s="1"/>
  <c r="L12" i="10" a="1"/>
  <c r="L12" i="10" s="1"/>
  <c r="L27" i="10" a="1"/>
  <c r="L27" i="10" s="1"/>
  <c r="L20" i="10" a="1"/>
  <c r="L20" i="10" s="1"/>
  <c r="L28" i="10" a="1"/>
  <c r="L28" i="10" s="1"/>
  <c r="L29" i="10" a="1"/>
  <c r="L29" i="10" s="1"/>
  <c r="L21" i="10" a="1"/>
  <c r="L21" i="10" s="1"/>
  <c r="L3" i="10" a="1"/>
  <c r="L3" i="10" s="1"/>
  <c r="L22" i="10" a="1"/>
  <c r="L22" i="10" s="1"/>
  <c r="L13" i="10" a="1"/>
  <c r="L13" i="10" s="1"/>
  <c r="L19" i="10" a="1"/>
  <c r="L19" i="10" s="1"/>
  <c r="L7" i="10" a="1"/>
  <c r="L7" i="10" s="1"/>
  <c r="L18" i="10" a="1"/>
  <c r="L18" i="10" s="1"/>
  <c r="L15" i="10" a="1"/>
  <c r="L15" i="10" s="1"/>
  <c r="L6" i="10" a="1"/>
  <c r="L6" i="10" s="1"/>
  <c r="L16" i="10" a="1"/>
  <c r="L16" i="10" s="1"/>
  <c r="L11" i="10" a="1"/>
  <c r="L11" i="10" s="1"/>
  <c r="J15" i="10" a="1"/>
  <c r="J15" i="10" s="1"/>
  <c r="J2" i="10" a="1"/>
  <c r="J2" i="10" s="1"/>
  <c r="J22" i="10" a="1"/>
  <c r="J22" i="10" s="1"/>
  <c r="J23" i="10" a="1"/>
  <c r="J23" i="10" s="1"/>
  <c r="J16" i="10" a="1"/>
  <c r="J16" i="10" s="1"/>
  <c r="J11" i="10" a="1"/>
  <c r="J11" i="10" s="1"/>
  <c r="J18" i="10" a="1"/>
  <c r="J18" i="10" s="1"/>
  <c r="J10" i="10" a="1"/>
  <c r="J10" i="10" s="1"/>
  <c r="J14" i="10" a="1"/>
  <c r="J14" i="10" s="1"/>
  <c r="J17" i="10" a="1"/>
  <c r="J17" i="10" s="1"/>
  <c r="J20" i="10" a="1"/>
  <c r="J20" i="10" s="1"/>
  <c r="J28" i="10" a="1"/>
  <c r="J28" i="10" s="1"/>
  <c r="J25" i="10" a="1"/>
  <c r="J25" i="10" s="1"/>
  <c r="J21" i="10" a="1"/>
  <c r="J21" i="10" s="1"/>
  <c r="J3" i="10" a="1"/>
  <c r="J3" i="10" s="1"/>
  <c r="J5" i="10" a="1"/>
  <c r="J5" i="10" s="1"/>
  <c r="J24" i="10" a="1"/>
  <c r="J24" i="10" s="1"/>
  <c r="J29" i="10" a="1"/>
  <c r="J29" i="10" s="1"/>
  <c r="J8" i="10" a="1"/>
  <c r="J8" i="10" s="1"/>
  <c r="J27" i="10" a="1"/>
  <c r="J27" i="10" s="1"/>
  <c r="J13" i="10" a="1"/>
  <c r="J13" i="10" s="1"/>
  <c r="J4" i="10" a="1"/>
  <c r="J4" i="10" s="1"/>
  <c r="J6" i="10" a="1"/>
  <c r="J6" i="10" s="1"/>
  <c r="J9" i="10" a="1"/>
  <c r="J9" i="10" s="1"/>
  <c r="J26" i="10" a="1"/>
  <c r="J26" i="10" s="1"/>
  <c r="J12" i="10" a="1"/>
  <c r="J12" i="10" s="1"/>
  <c r="J7" i="10" a="1"/>
  <c r="J7" i="10" s="1"/>
  <c r="J19" i="10" a="1"/>
  <c r="J19" i="10" s="1"/>
  <c r="C20" i="10" a="1"/>
  <c r="C20" i="10" s="1"/>
  <c r="F8" i="10" a="1"/>
  <c r="F8" i="10" s="1"/>
  <c r="I12" i="10" a="1"/>
  <c r="I12" i="10" s="1"/>
  <c r="C14" i="10" a="1"/>
  <c r="C14" i="10" s="1"/>
  <c r="F23" i="10" a="1"/>
  <c r="F23" i="10" s="1"/>
  <c r="C22" i="10" a="1"/>
  <c r="C22" i="10" s="1"/>
  <c r="I18" i="10" a="1"/>
  <c r="I18" i="10" s="1"/>
  <c r="I14" i="10" a="1"/>
  <c r="I14" i="10" s="1"/>
  <c r="I13" i="10" a="1"/>
  <c r="I13" i="10" s="1"/>
  <c r="C28" i="10" a="1"/>
  <c r="C28" i="10" s="1"/>
  <c r="F13" i="10" a="1"/>
  <c r="F13" i="10" s="1"/>
  <c r="I6" i="10" a="1"/>
  <c r="I6" i="10" s="1"/>
  <c r="C2" i="10" a="1"/>
  <c r="C2" i="10" s="1"/>
  <c r="F4" i="10" a="1"/>
  <c r="F4" i="10" s="1"/>
  <c r="F19" i="10" a="1"/>
  <c r="F19" i="10" s="1"/>
  <c r="I11" i="10" a="1"/>
  <c r="I11" i="10" s="1"/>
  <c r="C23" i="10" a="1"/>
  <c r="C23" i="10" s="1"/>
  <c r="C19" i="10" a="1"/>
  <c r="C19" i="10" s="1"/>
  <c r="F16" i="10" a="1"/>
  <c r="F16" i="10" s="1"/>
  <c r="I24" i="10" a="1"/>
  <c r="I24" i="10" s="1"/>
  <c r="C12" i="10" a="1"/>
  <c r="C12" i="10" s="1"/>
  <c r="F18" i="10" a="1"/>
  <c r="F18" i="10" s="1"/>
  <c r="C15" i="10" a="1"/>
  <c r="C15" i="10" s="1"/>
  <c r="I8" i="10" a="1"/>
  <c r="I8" i="10" s="1"/>
  <c r="C11" i="10" a="1"/>
  <c r="C11" i="10" s="1"/>
  <c r="C29" i="10" a="1"/>
  <c r="C29" i="10" s="1"/>
  <c r="F9" i="10" a="1"/>
  <c r="F9" i="10" s="1"/>
  <c r="I15" i="10" a="1"/>
  <c r="I15" i="10" s="1"/>
  <c r="C21" i="10" a="1"/>
  <c r="C21" i="10" s="1"/>
  <c r="F17" i="10" a="1"/>
  <c r="F17" i="10" s="1"/>
  <c r="C8" i="10" a="1"/>
  <c r="C8" i="10" s="1"/>
  <c r="C4" i="10" a="1"/>
  <c r="C4" i="10" s="1"/>
  <c r="F15" i="10" a="1"/>
  <c r="F15" i="10" s="1"/>
  <c r="I27" i="10" a="1"/>
  <c r="I27" i="10" s="1"/>
  <c r="C7" i="10" a="1"/>
  <c r="C7" i="10" s="1"/>
  <c r="I28" i="10" a="1"/>
  <c r="I28" i="10" s="1"/>
  <c r="C6" i="10" a="1"/>
  <c r="C6" i="10" s="1"/>
  <c r="I29" i="10" a="1"/>
  <c r="I29" i="10" s="1"/>
  <c r="F25" i="10" a="1"/>
  <c r="F25" i="10" s="1"/>
  <c r="I21" i="10" a="1"/>
  <c r="I21" i="10" s="1"/>
  <c r="F5" i="10" a="1"/>
  <c r="F5" i="10" s="1"/>
  <c r="C3" i="10" a="1"/>
  <c r="C3" i="10" s="1"/>
  <c r="F26" i="10" a="1"/>
  <c r="F26" i="10" s="1"/>
  <c r="I16" i="10" a="1"/>
  <c r="I16" i="10" s="1"/>
  <c r="I20" i="10" a="1"/>
  <c r="I20" i="10" s="1"/>
  <c r="C13" i="10" a="1"/>
  <c r="C13" i="10" s="1"/>
  <c r="F7" i="10" a="1"/>
  <c r="F7" i="10" s="1"/>
  <c r="C9" i="10" a="1"/>
  <c r="C9" i="10" s="1"/>
  <c r="F12" i="10" a="1"/>
  <c r="F12" i="10" s="1"/>
  <c r="I25" i="10" a="1"/>
  <c r="I25" i="10" s="1"/>
  <c r="C17" i="10" a="1"/>
  <c r="C17" i="10" s="1"/>
  <c r="C26" i="10" a="1"/>
  <c r="C26" i="10" s="1"/>
  <c r="F6" i="10" a="1"/>
  <c r="F6" i="10" s="1"/>
  <c r="I10" i="10" a="1"/>
  <c r="I10" i="10" s="1"/>
  <c r="I5" i="10" a="1"/>
  <c r="I5" i="10" s="1"/>
  <c r="F11" i="10" a="1"/>
  <c r="F11" i="10" s="1"/>
  <c r="I2" i="10" a="1"/>
  <c r="I2" i="10" s="1"/>
  <c r="I23" i="10" a="1"/>
  <c r="I23" i="10" s="1"/>
  <c r="F27" i="10" a="1"/>
  <c r="F27" i="10" s="1"/>
  <c r="I3" i="10" a="1"/>
  <c r="I3" i="10" s="1"/>
  <c r="C16" i="10" a="1"/>
  <c r="C16" i="10" s="1"/>
  <c r="F10" i="10" a="1"/>
  <c r="F10" i="10" s="1"/>
  <c r="I22" i="10" a="1"/>
  <c r="I22" i="10" s="1"/>
  <c r="C27" i="10" a="1"/>
  <c r="C27" i="10" s="1"/>
  <c r="F3" i="10" a="1"/>
  <c r="F3" i="10" s="1"/>
  <c r="I7" i="10" a="1"/>
  <c r="I7" i="10" s="1"/>
  <c r="C24" i="10" a="1"/>
  <c r="C24" i="10" s="1"/>
  <c r="F22" i="10" a="1"/>
  <c r="F22" i="10" s="1"/>
  <c r="F2" i="10" a="1"/>
  <c r="F2" i="10" s="1"/>
  <c r="C18" i="10" a="1"/>
  <c r="C18" i="10" s="1"/>
  <c r="F28" i="10" a="1"/>
  <c r="F28" i="10" s="1"/>
  <c r="I19" i="10" a="1"/>
  <c r="I19" i="10" s="1"/>
  <c r="F20" i="10" a="1"/>
  <c r="F20" i="10" s="1"/>
  <c r="I26" i="10" a="1"/>
  <c r="I26" i="10" s="1"/>
  <c r="I17" i="10" a="1"/>
  <c r="I17" i="10" s="1"/>
  <c r="I9" i="10" a="1"/>
  <c r="I9" i="10" s="1"/>
  <c r="C10" i="10" a="1"/>
  <c r="C10" i="10" s="1"/>
  <c r="I4" i="10" a="1"/>
  <c r="I4" i="10" s="1"/>
  <c r="F21" i="10" a="1"/>
  <c r="F21" i="10" s="1"/>
  <c r="F29" i="10" a="1"/>
  <c r="F29" i="10" s="1"/>
  <c r="C5" i="10" a="1"/>
  <c r="C5" i="10" s="1"/>
  <c r="F24" i="10" a="1"/>
  <c r="F24" i="10" s="1"/>
  <c r="F14" i="10" a="1"/>
  <c r="F14" i="10" s="1"/>
  <c r="C25" i="10" a="1"/>
  <c r="C25" i="10" s="1"/>
  <c r="M5" i="10" a="1"/>
  <c r="M5" i="10" s="1"/>
  <c r="M2" i="10" a="1"/>
  <c r="M2" i="10" s="1"/>
  <c r="M9" i="10" a="1"/>
  <c r="M9" i="10" s="1"/>
  <c r="M7" i="10" a="1"/>
  <c r="M7" i="10" s="1"/>
  <c r="M12" i="10" a="1"/>
  <c r="M12" i="10" s="1"/>
  <c r="M16" i="10" a="1"/>
  <c r="M16" i="10" s="1"/>
  <c r="M27" i="10" a="1"/>
  <c r="M27" i="10" s="1"/>
  <c r="M24" i="10" a="1"/>
  <c r="M24" i="10" s="1"/>
  <c r="M22" i="10" a="1"/>
  <c r="M22" i="10" s="1"/>
  <c r="M19" i="10" a="1"/>
  <c r="M19" i="10" s="1"/>
  <c r="M20" i="10" a="1"/>
  <c r="M20" i="10" s="1"/>
  <c r="M14" i="10" a="1"/>
  <c r="M14" i="10" s="1"/>
  <c r="M28" i="10" a="1"/>
  <c r="M28" i="10" s="1"/>
  <c r="M21" i="10" a="1"/>
  <c r="M21" i="10" s="1"/>
  <c r="M29" i="10" a="1"/>
  <c r="M29" i="10" s="1"/>
  <c r="M3" i="10" a="1"/>
  <c r="M3" i="10" s="1"/>
  <c r="M17" i="10" a="1"/>
  <c r="M17" i="10" s="1"/>
  <c r="M26" i="10" a="1"/>
  <c r="M26" i="10" s="1"/>
  <c r="M8" i="10" a="1"/>
  <c r="M8" i="10" s="1"/>
  <c r="M23" i="10" a="1"/>
  <c r="M23" i="10" s="1"/>
  <c r="M13" i="10" a="1"/>
  <c r="M13" i="10" s="1"/>
  <c r="M4" i="10" a="1"/>
  <c r="M4" i="10" s="1"/>
  <c r="M15" i="10" a="1"/>
  <c r="M15" i="10" s="1"/>
  <c r="M6" i="10" a="1"/>
  <c r="M6" i="10" s="1"/>
  <c r="M10" i="10" a="1"/>
  <c r="M10" i="10" s="1"/>
  <c r="M25" i="10" a="1"/>
  <c r="M25" i="10" s="1"/>
  <c r="M18" i="10" a="1"/>
  <c r="M18" i="10" s="1"/>
  <c r="M11" i="10" a="1"/>
  <c r="M11" i="10" s="1"/>
  <c r="M2" i="9" a="1"/>
  <c r="M2" i="9" s="1"/>
  <c r="M12" i="9" a="1"/>
  <c r="M12" i="9" s="1"/>
  <c r="M22" i="9" a="1"/>
  <c r="M22" i="9" s="1"/>
  <c r="M24" i="9" a="1"/>
  <c r="M24" i="9" s="1"/>
  <c r="M26" i="9" a="1"/>
  <c r="M26" i="9" s="1"/>
  <c r="M21" i="9" a="1"/>
  <c r="M21" i="9" s="1"/>
  <c r="M3" i="9" a="1"/>
  <c r="M3" i="9" s="1"/>
  <c r="M13" i="9" a="1"/>
  <c r="M13" i="9" s="1"/>
  <c r="M23" i="9" a="1"/>
  <c r="M23" i="9" s="1"/>
  <c r="M4" i="9" a="1"/>
  <c r="M4" i="9" s="1"/>
  <c r="M15" i="9" a="1"/>
  <c r="M15" i="9" s="1"/>
  <c r="M25" i="9" a="1"/>
  <c r="M25" i="9" s="1"/>
  <c r="M16" i="9" a="1"/>
  <c r="M16" i="9" s="1"/>
  <c r="M11" i="9" a="1"/>
  <c r="M11" i="9" s="1"/>
  <c r="M14" i="9" a="1"/>
  <c r="M14" i="9" s="1"/>
  <c r="M6" i="9" a="1"/>
  <c r="M6" i="9" s="1"/>
  <c r="M20" i="9" a="1"/>
  <c r="M20" i="9" s="1"/>
  <c r="M5" i="9" a="1"/>
  <c r="M5" i="9" s="1"/>
  <c r="M7" i="9" a="1"/>
  <c r="M7" i="9" s="1"/>
  <c r="M17" i="9" a="1"/>
  <c r="M17" i="9" s="1"/>
  <c r="M27" i="9" a="1"/>
  <c r="M27" i="9" s="1"/>
  <c r="M18" i="9" a="1"/>
  <c r="M18" i="9" s="1"/>
  <c r="M8" i="9" a="1"/>
  <c r="M8" i="9" s="1"/>
  <c r="M28" i="9" a="1"/>
  <c r="M28" i="9" s="1"/>
  <c r="M9" i="9" a="1"/>
  <c r="M9" i="9" s="1"/>
  <c r="M29" i="9" a="1"/>
  <c r="M29" i="9" s="1"/>
  <c r="M19" i="9" a="1"/>
  <c r="M19" i="9" s="1"/>
  <c r="M10" i="9" a="1"/>
  <c r="M10" i="9" s="1"/>
  <c r="L2" i="9" a="1"/>
  <c r="L2" i="9" s="1"/>
  <c r="L12" i="9" a="1"/>
  <c r="L12" i="9" s="1"/>
  <c r="L22" i="9" a="1"/>
  <c r="L22" i="9" s="1"/>
  <c r="L3" i="9" a="1"/>
  <c r="L3" i="9" s="1"/>
  <c r="L13" i="9" a="1"/>
  <c r="L13" i="9" s="1"/>
  <c r="L23" i="9" a="1"/>
  <c r="L23" i="9" s="1"/>
  <c r="L24" i="9" a="1"/>
  <c r="L24" i="9" s="1"/>
  <c r="L15" i="9" a="1"/>
  <c r="L15" i="9" s="1"/>
  <c r="L27" i="9" a="1"/>
  <c r="L27" i="9" s="1"/>
  <c r="L25" i="9" a="1"/>
  <c r="L25" i="9" s="1"/>
  <c r="L14" i="9" a="1"/>
  <c r="L14" i="9" s="1"/>
  <c r="L4" i="9" a="1"/>
  <c r="L4" i="9" s="1"/>
  <c r="L5" i="9" a="1"/>
  <c r="L5" i="9" s="1"/>
  <c r="L6" i="9" a="1"/>
  <c r="L6" i="9" s="1"/>
  <c r="L7" i="9" a="1"/>
  <c r="L7" i="9" s="1"/>
  <c r="L8" i="9" a="1"/>
  <c r="L8" i="9" s="1"/>
  <c r="L18" i="9" a="1"/>
  <c r="L18" i="9" s="1"/>
  <c r="L28" i="9" a="1"/>
  <c r="L28" i="9" s="1"/>
  <c r="L19" i="9" a="1"/>
  <c r="L19" i="9" s="1"/>
  <c r="L17" i="9" a="1"/>
  <c r="L17" i="9" s="1"/>
  <c r="L9" i="9" a="1"/>
  <c r="L9" i="9" s="1"/>
  <c r="L29" i="9" a="1"/>
  <c r="L29" i="9" s="1"/>
  <c r="L21" i="9" a="1"/>
  <c r="L21" i="9" s="1"/>
  <c r="L16" i="9" a="1"/>
  <c r="L16" i="9" s="1"/>
  <c r="L10" i="9" a="1"/>
  <c r="L10" i="9" s="1"/>
  <c r="L20" i="9" a="1"/>
  <c r="L20" i="9" s="1"/>
  <c r="L11" i="9" a="1"/>
  <c r="L11" i="9" s="1"/>
  <c r="L26" i="9" a="1"/>
  <c r="L26" i="9" s="1"/>
  <c r="K2" i="9" a="1"/>
  <c r="K2" i="9" s="1"/>
  <c r="K3" i="9" a="1"/>
  <c r="K3" i="9" s="1"/>
  <c r="K13" i="9" a="1"/>
  <c r="K13" i="9" s="1"/>
  <c r="K23" i="9" a="1"/>
  <c r="K23" i="9" s="1"/>
  <c r="K14" i="9" a="1"/>
  <c r="K14" i="9" s="1"/>
  <c r="K24" i="9" a="1"/>
  <c r="K24" i="9" s="1"/>
  <c r="K15" i="9" a="1"/>
  <c r="K15" i="9" s="1"/>
  <c r="K6" i="9" a="1"/>
  <c r="K6" i="9" s="1"/>
  <c r="K4" i="9" a="1"/>
  <c r="K4" i="9" s="1"/>
  <c r="K5" i="9" a="1"/>
  <c r="K5" i="9" s="1"/>
  <c r="K25" i="9" a="1"/>
  <c r="K25" i="9" s="1"/>
  <c r="K16" i="9" a="1"/>
  <c r="K16" i="9" s="1"/>
  <c r="K27" i="9" a="1"/>
  <c r="K27" i="9" s="1"/>
  <c r="K18" i="9" a="1"/>
  <c r="K18" i="9" s="1"/>
  <c r="K26" i="9" a="1"/>
  <c r="K26" i="9" s="1"/>
  <c r="K7" i="9" a="1"/>
  <c r="K7" i="9" s="1"/>
  <c r="K8" i="9" a="1"/>
  <c r="K8" i="9" s="1"/>
  <c r="K9" i="9" a="1"/>
  <c r="K9" i="9" s="1"/>
  <c r="K19" i="9" a="1"/>
  <c r="K19" i="9" s="1"/>
  <c r="K29" i="9" a="1"/>
  <c r="K29" i="9" s="1"/>
  <c r="K10" i="9" a="1"/>
  <c r="K10" i="9" s="1"/>
  <c r="K20" i="9" a="1"/>
  <c r="K20" i="9" s="1"/>
  <c r="K22" i="9" a="1"/>
  <c r="K22" i="9" s="1"/>
  <c r="K28" i="9" a="1"/>
  <c r="K28" i="9" s="1"/>
  <c r="K11" i="9" a="1"/>
  <c r="K11" i="9" s="1"/>
  <c r="K21" i="9" a="1"/>
  <c r="K21" i="9" s="1"/>
  <c r="K12" i="9" a="1"/>
  <c r="K12" i="9" s="1"/>
  <c r="K17" i="9" a="1"/>
  <c r="K17" i="9" s="1"/>
  <c r="J2" i="9" a="1"/>
  <c r="J2" i="9" s="1"/>
  <c r="J12" i="9" a="1"/>
  <c r="J12" i="9" s="1"/>
  <c r="J22" i="9" a="1"/>
  <c r="J22" i="9" s="1"/>
  <c r="J5" i="9" a="1"/>
  <c r="J5" i="9" s="1"/>
  <c r="J23" i="9" a="1"/>
  <c r="J23" i="9" s="1"/>
  <c r="J14" i="9" a="1"/>
  <c r="J14" i="9" s="1"/>
  <c r="J24" i="9" a="1"/>
  <c r="J24" i="9" s="1"/>
  <c r="J15" i="9" a="1"/>
  <c r="J15" i="9" s="1"/>
  <c r="J25" i="9" a="1"/>
  <c r="J25" i="9" s="1"/>
  <c r="J17" i="9" a="1"/>
  <c r="J17" i="9" s="1"/>
  <c r="J3" i="9" a="1"/>
  <c r="J3" i="9" s="1"/>
  <c r="J13" i="9" a="1"/>
  <c r="J13" i="9" s="1"/>
  <c r="J4" i="9" a="1"/>
  <c r="J4" i="9" s="1"/>
  <c r="J6" i="9" a="1"/>
  <c r="J6" i="9" s="1"/>
  <c r="J7" i="9" a="1"/>
  <c r="J7" i="9" s="1"/>
  <c r="J8" i="9" a="1"/>
  <c r="J8" i="9" s="1"/>
  <c r="J18" i="9" a="1"/>
  <c r="J18" i="9" s="1"/>
  <c r="J28" i="9" a="1"/>
  <c r="J28" i="9" s="1"/>
  <c r="J27" i="9" a="1"/>
  <c r="J27" i="9" s="1"/>
  <c r="J29" i="9" a="1"/>
  <c r="J29" i="9" s="1"/>
  <c r="J21" i="9" a="1"/>
  <c r="J21" i="9" s="1"/>
  <c r="J16" i="9" a="1"/>
  <c r="J16" i="9" s="1"/>
  <c r="J9" i="9" a="1"/>
  <c r="J9" i="9" s="1"/>
  <c r="J19" i="9" a="1"/>
  <c r="J19" i="9" s="1"/>
  <c r="J26" i="9" a="1"/>
  <c r="J26" i="9" s="1"/>
  <c r="J10" i="9" a="1"/>
  <c r="J10" i="9" s="1"/>
  <c r="J20" i="9" a="1"/>
  <c r="J20" i="9" s="1"/>
  <c r="J11" i="9" a="1"/>
  <c r="J11" i="9" s="1"/>
  <c r="I18" i="9" a="1"/>
  <c r="I18" i="9" s="1"/>
  <c r="I2" i="9" a="1"/>
  <c r="I2" i="9" s="1"/>
  <c r="I8" i="9" a="1"/>
  <c r="I8" i="9" s="1"/>
  <c r="I7" i="9" a="1"/>
  <c r="I7" i="9" s="1"/>
  <c r="I6" i="9" a="1"/>
  <c r="I6" i="9" s="1"/>
  <c r="I5" i="9" a="1"/>
  <c r="I5" i="9" s="1"/>
  <c r="I4" i="9" a="1"/>
  <c r="I4" i="9" s="1"/>
  <c r="I17" i="9" a="1"/>
  <c r="I17" i="9" s="1"/>
  <c r="I16" i="9" a="1"/>
  <c r="I16" i="9" s="1"/>
  <c r="I14" i="9" a="1"/>
  <c r="I14" i="9" s="1"/>
  <c r="I3" i="9" a="1"/>
  <c r="I3" i="9" s="1"/>
  <c r="I27" i="9" a="1"/>
  <c r="I27" i="9" s="1"/>
  <c r="I15" i="9" a="1"/>
  <c r="I15" i="9" s="1"/>
  <c r="I11" i="9" a="1"/>
  <c r="I11" i="9" s="1"/>
  <c r="I26" i="9" a="1"/>
  <c r="I26" i="9" s="1"/>
  <c r="I20" i="9" a="1"/>
  <c r="I20" i="9" s="1"/>
  <c r="I25" i="9" a="1"/>
  <c r="I25" i="9" s="1"/>
  <c r="G20" i="8"/>
  <c r="I10" i="9" a="1"/>
  <c r="I10" i="9" s="1"/>
  <c r="I24" i="9" a="1"/>
  <c r="I24" i="9" s="1"/>
  <c r="I21" i="9" a="1"/>
  <c r="I21" i="9" s="1"/>
  <c r="I23" i="9" a="1"/>
  <c r="I23" i="9" s="1"/>
  <c r="I19" i="9" a="1"/>
  <c r="I19" i="9" s="1"/>
  <c r="I13" i="9" a="1"/>
  <c r="I13" i="9" s="1"/>
  <c r="I9" i="9" a="1"/>
  <c r="I9" i="9" s="1"/>
  <c r="I22" i="9" a="1"/>
  <c r="I22" i="9" s="1"/>
  <c r="I29" i="9" a="1"/>
  <c r="I29" i="9" s="1"/>
  <c r="I12" i="9" a="1"/>
  <c r="I12" i="9" s="1"/>
  <c r="I28" i="9" a="1"/>
  <c r="I28" i="9" s="1"/>
  <c r="F21" i="9" a="1"/>
  <c r="F21" i="9" s="1"/>
  <c r="F2" i="9" a="1"/>
  <c r="F2" i="9" s="1"/>
  <c r="F8" i="9" a="1"/>
  <c r="F8" i="9" s="1"/>
  <c r="F17" i="9" a="1"/>
  <c r="F17" i="9" s="1"/>
  <c r="F27" i="9" a="1"/>
  <c r="F27" i="9" s="1"/>
  <c r="F7" i="9" a="1"/>
  <c r="F7" i="9" s="1"/>
  <c r="F26" i="9" a="1"/>
  <c r="F26" i="9" s="1"/>
  <c r="F6" i="9" a="1"/>
  <c r="F6" i="9" s="1"/>
  <c r="F18" i="9" a="1"/>
  <c r="F18" i="9" s="1"/>
  <c r="F16" i="9" a="1"/>
  <c r="F16" i="9" s="1"/>
  <c r="F15" i="9" a="1"/>
  <c r="F15" i="9" s="1"/>
  <c r="F5" i="9" a="1"/>
  <c r="F5" i="9" s="1"/>
  <c r="F25" i="9" a="1"/>
  <c r="F25" i="9" s="1"/>
  <c r="F4" i="9" a="1"/>
  <c r="F4" i="9" s="1"/>
  <c r="F3" i="9" a="1"/>
  <c r="F3" i="9" s="1"/>
  <c r="F20" i="9" a="1"/>
  <c r="F20" i="9" s="1"/>
  <c r="F24" i="9" a="1"/>
  <c r="F24" i="9" s="1"/>
  <c r="F10" i="9" a="1"/>
  <c r="F10" i="9" s="1"/>
  <c r="F23" i="9" a="1"/>
  <c r="F23" i="9" s="1"/>
  <c r="F11" i="9" a="1"/>
  <c r="F11" i="9" s="1"/>
  <c r="F14" i="9" a="1"/>
  <c r="F14" i="9" s="1"/>
  <c r="F19" i="9" a="1"/>
  <c r="F19" i="9" s="1"/>
  <c r="F13" i="9" a="1"/>
  <c r="F13" i="9" s="1"/>
  <c r="F9" i="9" a="1"/>
  <c r="F9" i="9" s="1"/>
  <c r="F22" i="9" a="1"/>
  <c r="F22" i="9" s="1"/>
  <c r="F29" i="9" a="1"/>
  <c r="F29" i="9" s="1"/>
  <c r="F12" i="9" a="1"/>
  <c r="F12" i="9" s="1"/>
  <c r="F28" i="9" a="1"/>
  <c r="F28" i="9" s="1"/>
  <c r="C29" i="9" a="1"/>
  <c r="C29" i="9" s="1"/>
  <c r="C2" i="9" a="1"/>
  <c r="C2" i="9" s="1"/>
  <c r="C6" i="9" a="1"/>
  <c r="C6" i="9" s="1"/>
  <c r="C11" i="9" a="1"/>
  <c r="C11" i="9" s="1"/>
  <c r="C4" i="9" a="1"/>
  <c r="C4" i="9" s="1"/>
  <c r="C24" i="9" a="1"/>
  <c r="C24" i="9" s="1"/>
  <c r="C21" i="9" a="1"/>
  <c r="C21" i="9" s="1"/>
  <c r="C3" i="9" a="1"/>
  <c r="C3" i="9" s="1"/>
  <c r="C18" i="9" a="1"/>
  <c r="C18" i="9" s="1"/>
  <c r="C7" i="9" a="1"/>
  <c r="C7" i="9" s="1"/>
  <c r="C25" i="9" a="1"/>
  <c r="C25" i="9" s="1"/>
  <c r="C5" i="9" a="1"/>
  <c r="C5" i="9" s="1"/>
  <c r="C16" i="9" a="1"/>
  <c r="C16" i="9" s="1"/>
  <c r="C14" i="9" a="1"/>
  <c r="C14" i="9" s="1"/>
  <c r="C13" i="9" a="1"/>
  <c r="C13" i="9" s="1"/>
  <c r="C20" i="9" a="1"/>
  <c r="C20" i="9" s="1"/>
  <c r="G23" i="8"/>
  <c r="G24" i="8"/>
  <c r="C19" i="9" a="1"/>
  <c r="C19" i="9" s="1"/>
  <c r="C27" i="9" a="1"/>
  <c r="C27" i="9" s="1"/>
  <c r="C9" i="9" a="1"/>
  <c r="C9" i="9" s="1"/>
  <c r="C15" i="9" a="1"/>
  <c r="C15" i="9" s="1"/>
  <c r="C8" i="9" a="1"/>
  <c r="C8" i="9" s="1"/>
  <c r="C10" i="9" a="1"/>
  <c r="C10" i="9" s="1"/>
  <c r="C23" i="9" a="1"/>
  <c r="C23" i="9" s="1"/>
  <c r="C28" i="9" a="1"/>
  <c r="C28" i="9" s="1"/>
  <c r="C22" i="9" a="1"/>
  <c r="C22" i="9" s="1"/>
  <c r="C17" i="9" a="1"/>
  <c r="C17" i="9" s="1"/>
  <c r="C12" i="9" a="1"/>
  <c r="C12" i="9" s="1"/>
  <c r="C26" i="9" a="1"/>
  <c r="C26" i="9" s="1"/>
  <c r="G31" i="8"/>
  <c r="G27" i="8"/>
  <c r="G29" i="8"/>
  <c r="G17" i="8"/>
  <c r="G28" i="8"/>
  <c r="G13" i="8"/>
  <c r="G22" i="8"/>
  <c r="G7" i="8"/>
  <c r="G18" i="8"/>
  <c r="G32" i="8"/>
  <c r="G21" i="8"/>
  <c r="G30" i="8"/>
  <c r="G14" i="8"/>
  <c r="G5" i="8"/>
  <c r="G19" i="8"/>
  <c r="G10" i="8"/>
  <c r="G25" i="8"/>
  <c r="G12" i="8"/>
  <c r="G8" i="8"/>
  <c r="G16" i="8"/>
  <c r="G9" i="8"/>
  <c r="G11" i="8"/>
  <c r="G15" i="8"/>
  <c r="G6" i="8"/>
  <c r="G26" i="8"/>
  <c r="P94" i="2"/>
  <c r="P89" i="2"/>
  <c r="A25" i="5" a="1"/>
  <c r="A24" i="4" a="1"/>
  <c r="A24" i="3" a="1"/>
  <c r="P59" i="2"/>
  <c r="P92" i="2"/>
  <c r="P66" i="2"/>
  <c r="P93" i="2"/>
  <c r="P97" i="2"/>
  <c r="P90" i="2"/>
  <c r="P3" i="2"/>
  <c r="P91" i="2"/>
  <c r="P98" i="2"/>
  <c r="P60" i="2"/>
  <c r="P95" i="2"/>
  <c r="P87" i="2"/>
  <c r="P88" i="2"/>
  <c r="P96" i="2"/>
  <c r="P65" i="2"/>
  <c r="B3" i="9" l="1"/>
  <c r="B4" i="10"/>
  <c r="B23" i="9"/>
  <c r="B13" i="10"/>
  <c r="B20" i="9"/>
  <c r="B19" i="10"/>
  <c r="B19" i="9"/>
  <c r="B7" i="10"/>
  <c r="B5" i="9"/>
  <c r="B22" i="10"/>
  <c r="B10" i="9"/>
  <c r="B5" i="10"/>
  <c r="B25" i="9"/>
  <c r="B3" i="10"/>
  <c r="B12" i="9"/>
  <c r="B25" i="10"/>
  <c r="B21" i="9"/>
  <c r="B26" i="10"/>
  <c r="B26" i="9"/>
  <c r="B29" i="10"/>
  <c r="B9" i="9"/>
  <c r="B24" i="10"/>
  <c r="B22" i="9"/>
  <c r="B9" i="10"/>
  <c r="B17" i="9"/>
  <c r="B6" i="10"/>
  <c r="B24" i="9"/>
  <c r="B8" i="10"/>
  <c r="B15" i="9"/>
  <c r="B16" i="10"/>
  <c r="B14" i="9"/>
  <c r="B11" i="10"/>
  <c r="B13" i="9"/>
  <c r="B18" i="10"/>
  <c r="B6" i="9"/>
  <c r="B21" i="10"/>
  <c r="B16" i="9"/>
  <c r="B15" i="10"/>
  <c r="B4" i="9"/>
  <c r="B23" i="10"/>
  <c r="B29" i="9"/>
  <c r="B27" i="10"/>
  <c r="B8" i="9"/>
  <c r="B14" i="10"/>
  <c r="B7" i="9"/>
  <c r="B2" i="10"/>
  <c r="B2" i="9"/>
  <c r="B17" i="10"/>
  <c r="B18" i="9"/>
  <c r="B12" i="10"/>
  <c r="B27" i="9"/>
  <c r="B28" i="10"/>
  <c r="B28" i="9"/>
  <c r="B20" i="10"/>
  <c r="B11" i="9"/>
  <c r="B10" i="10"/>
  <c r="H26" i="3" a="1"/>
  <c r="H26" i="3" s="1"/>
  <c r="A24" i="3"/>
  <c r="H24" i="3" s="1" a="1"/>
  <c r="H24" i="3" s="1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A24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A25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A7" i="5" a="1"/>
  <c r="A7" i="4" a="1"/>
  <c r="A7" i="3" a="1"/>
  <c r="N23" i="10" l="1"/>
  <c r="N21" i="10"/>
  <c r="N29" i="10"/>
  <c r="N11" i="10"/>
  <c r="N22" i="10"/>
  <c r="N15" i="10"/>
  <c r="N18" i="10"/>
  <c r="N28" i="10"/>
  <c r="N5" i="10"/>
  <c r="N12" i="10"/>
  <c r="N19" i="10"/>
  <c r="N14" i="10"/>
  <c r="N13" i="10"/>
  <c r="N26" i="10"/>
  <c r="N10" i="10"/>
  <c r="N20" i="10"/>
  <c r="N16" i="10"/>
  <c r="N7" i="10"/>
  <c r="N6" i="10"/>
  <c r="N9" i="10"/>
  <c r="N25" i="10"/>
  <c r="N8" i="10"/>
  <c r="N2" i="10"/>
  <c r="N27" i="10"/>
  <c r="N4" i="10"/>
  <c r="N3" i="10"/>
  <c r="N17" i="10"/>
  <c r="N24" i="10"/>
  <c r="H39" i="3" a="1"/>
  <c r="H39" i="3" s="1"/>
  <c r="H28" i="3" a="1"/>
  <c r="H28" i="3" s="1"/>
  <c r="H25" i="3" a="1"/>
  <c r="H25" i="3" s="1"/>
  <c r="H38" i="3" a="1"/>
  <c r="H38" i="3" s="1"/>
  <c r="H37" i="3" a="1"/>
  <c r="H37" i="3" s="1"/>
  <c r="H27" i="3" a="1"/>
  <c r="H2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A7" i="3"/>
  <c r="H7" i="3" s="1" a="1"/>
  <c r="H7" i="3" s="1"/>
  <c r="G7" i="3"/>
  <c r="G8" i="3"/>
  <c r="G9" i="3"/>
  <c r="G10" i="3"/>
  <c r="G11" i="3"/>
  <c r="G12" i="3"/>
  <c r="G13" i="3"/>
  <c r="G14" i="3"/>
  <c r="G15" i="3"/>
  <c r="G16" i="3"/>
  <c r="G17" i="3"/>
  <c r="G18" i="3"/>
  <c r="A7" i="4"/>
  <c r="G7" i="4"/>
  <c r="G8" i="4"/>
  <c r="G9" i="4"/>
  <c r="G10" i="4"/>
  <c r="G11" i="4"/>
  <c r="G12" i="4"/>
  <c r="G13" i="4"/>
  <c r="G14" i="4"/>
  <c r="G15" i="4"/>
  <c r="G16" i="4"/>
  <c r="G17" i="4"/>
  <c r="G18" i="4"/>
  <c r="A7" i="5"/>
  <c r="G7" i="5"/>
  <c r="G8" i="5"/>
  <c r="G9" i="5"/>
  <c r="G10" i="5"/>
  <c r="G11" i="5"/>
  <c r="G12" i="5"/>
  <c r="G13" i="5"/>
  <c r="G14" i="5"/>
  <c r="G15" i="5"/>
  <c r="G16" i="5"/>
  <c r="G17" i="5"/>
  <c r="G18" i="5"/>
  <c r="H14" i="3" l="1" a="1"/>
  <c r="H14" i="3" s="1"/>
  <c r="H12" i="3" a="1"/>
  <c r="H12" i="3" s="1"/>
  <c r="H11" i="3" a="1"/>
  <c r="H11" i="3" s="1"/>
  <c r="H8" i="3" a="1"/>
  <c r="H8" i="3" s="1"/>
  <c r="H18" i="3" a="1"/>
  <c r="H18" i="3" s="1"/>
  <c r="H17" i="3" a="1"/>
  <c r="H17" i="3" s="1"/>
  <c r="H9" i="3" a="1"/>
  <c r="H9" i="3" s="1"/>
  <c r="H16" i="3" a="1"/>
  <c r="H16" i="3" s="1"/>
  <c r="H13" i="3" a="1"/>
  <c r="H13" i="3" s="1"/>
  <c r="H15" i="3" a="1"/>
  <c r="H15" i="3" s="1"/>
  <c r="H10" i="3" a="1"/>
  <c r="H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<sst xmlns="http://schemas.openxmlformats.org/spreadsheetml/2006/main" count="754" uniqueCount="291">
  <si>
    <t>Department Performance Contest — How It Works</t>
  </si>
  <si>
    <t>A simple guide to the scoring (no math background needed)</t>
  </si>
  <si>
    <t>1) The Big Idea</t>
  </si>
  <si>
    <t>Every department earns a weekly score out of 100 points. The score is like a report card across a few key habits: planning ahead, predicting business accurately, staffing efficiently, and tracking employee time. The department with the highest average score wins.</t>
  </si>
  <si>
    <t>2) The Four Things We Measure (out of 100)</t>
  </si>
  <si>
    <t>What We Measure</t>
  </si>
  <si>
    <t>Plain-English Meaning</t>
  </si>
  <si>
    <t>Forecasting Depts (max pts)</t>
  </si>
  <si>
    <t>Non-Forecasting Depts (max pts)</t>
  </si>
  <si>
    <t>Schedule &amp; Forecast</t>
  </si>
  <si>
    <t>Did they submit their plan on time and correctly?</t>
  </si>
  <si>
    <t>Forecast Accuracy</t>
  </si>
  <si>
    <t>How close was their business prediction to reality?</t>
  </si>
  <si>
    <t>Not measured</t>
  </si>
  <si>
    <t>Labor Effectiveness</t>
  </si>
  <si>
    <t>Did they staff efficiently without overspending on labor?</t>
  </si>
  <si>
    <t>Missed Punches</t>
  </si>
  <si>
    <t>Did employees clock in and out properly?</t>
  </si>
  <si>
    <t>TOTAL</t>
  </si>
  <si>
    <t>The four parts add up to a perfect score.</t>
  </si>
  <si>
    <t>Why two types? Forecasting departments (like restaurants) predict revenue, so accuracy counts. Non-forecasting departments (like Housekeeping) do not predict revenue, so those points shift to Labor and Punches instead. Both still total 100.</t>
  </si>
  <si>
    <t>3) A Worked Example — "Elate" (a top performer)</t>
  </si>
  <si>
    <t>Category</t>
  </si>
  <si>
    <t>How They Did</t>
  </si>
  <si>
    <t>Points</t>
  </si>
  <si>
    <t>Plan submitted on time = Pass</t>
  </si>
  <si>
    <t>Prediction met the target</t>
  </si>
  <si>
    <t>Staffed efficiently</t>
  </si>
  <si>
    <t>Clean time punches = Pass</t>
  </si>
  <si>
    <t>TOTAL SCORE</t>
  </si>
  <si>
    <t>Perfect week</t>
  </si>
  <si>
    <t>4) A Worked Example — "Housekeeping" (non-forecasting)</t>
  </si>
  <si>
    <t>5) Why the Winner Is Based on Averages</t>
  </si>
  <si>
    <t>We average each department's weekly scores rather than adding them up. This rewards consistency: a department that performs well week after week wins, and every team competes on the same fair 0-100 scale. Forecasting and Non-forecasting departments are ranked separately so the comparison is always apples-to-apples.</t>
  </si>
  <si>
    <t>Prize Eligibility: To win the Monthly or Yearly prize, a department must have an overall (average) score of at least 80. Departments scoring below 80 are not eligible to win, even if they rank highest.</t>
  </si>
  <si>
    <t>6) How to Read the Leaderboards</t>
  </si>
  <si>
    <t>Weekly = the best department for a single week. Monthly = best average across the weeks in a month. Yearly = best average across the whole year. A score of 90 always means "90 out of 100," whether it is one week or a full year.</t>
  </si>
  <si>
    <t>Think of 100 as a perfect report card. Anything in the 90s is excellent; the 80s is strong; below 60 signals a department that needs support in one of the four areas above.</t>
  </si>
  <si>
    <t>7) The Two "Sliding Scale" Scores (Forecast &amp; Labor)</t>
  </si>
  <si>
    <t>Most categories are simple Pass/Fail. But two are graded on a sliding scale: you can earn partial credit for being close. Think of it like a ramp — top of the ramp = full points, bottom = zero, and anywhere in between earns a proportional slice.</t>
  </si>
  <si>
    <t>FORECAST ACCURACY — "how close was the prediction?" (higher is better)</t>
  </si>
  <si>
    <t>Tier</t>
  </si>
  <si>
    <t>Target Accuracy</t>
  </si>
  <si>
    <t>Tolerance (wiggle room)</t>
  </si>
  <si>
    <t>Zero points if below</t>
  </si>
  <si>
    <t>Tier 1 (most predictable)</t>
  </si>
  <si>
    <t>Tier 2</t>
  </si>
  <si>
    <t>Tier 3 (hardest to predict)</t>
  </si>
  <si>
    <t>Formula (in plain terms)</t>
  </si>
  <si>
    <t>(Actual - Floor) / Tolerance × Max Points</t>
  </si>
  <si>
    <t>Live calculation →</t>
  </si>
  <si>
    <t>LABOR EFFECTIVENESS — "did they staff efficiently?" (lower is better, with a bonus for running lean)</t>
  </si>
  <si>
    <t>Labor % spent</t>
  </si>
  <si>
    <t>Result</t>
  </si>
  <si>
    <t>Forecasting pts</t>
  </si>
  <si>
    <t>Non-Forecasting pts</t>
  </si>
  <si>
    <t>96% to 100%</t>
  </si>
  <si>
    <t>Full points (the efficient sweet spot)</t>
  </si>
  <si>
    <t>101% (just over budget)</t>
  </si>
  <si>
    <t>Partial — 90% of full points</t>
  </si>
  <si>
    <t>102% and above</t>
  </si>
  <si>
    <t>Zero points</t>
  </si>
  <si>
    <t>90% to under 96%</t>
  </si>
  <si>
    <t>Full points + 5 bonus (lean &amp; clearly well-managed)</t>
  </si>
  <si>
    <t>30 + 5</t>
  </si>
  <si>
    <t>50 + 5</t>
  </si>
  <si>
    <t>Below 90%</t>
  </si>
  <si>
    <t>Full points + 3 bonus (capped — attrition is not penalized, but not over-rewarded vs. true management)</t>
  </si>
  <si>
    <t>30 + 3</t>
  </si>
  <si>
    <t>50 + 3</t>
  </si>
  <si>
    <t>Note: The bonus tiers reward departments genuinely managing labor down. The bonus caps below 90% so a department that is simply low due to attrition does not out-earn one running an efficient 90–95%.</t>
  </si>
  <si>
    <t>KEY IDEA: Both work the same way — a ramp giving partial credit for being close. Forecast rewards being HIGH (near target); Labor rewards being LOW (at/under 95%). That way a department that just barely misses isn't treated the same as one that missed by a mile.</t>
  </si>
  <si>
    <t>FORECAST ACCURACY BONUS — "rewarding those who exceed target" (capped at 100%)</t>
  </si>
  <si>
    <t>How it works:</t>
  </si>
  <si>
    <t>Departments that beat their target accuracy earn bonus points proportionally as they approach 100%.</t>
  </si>
  <si>
    <t>The bonus is capped at a maximum of 5 extra points when accuracy reaches 100%.</t>
  </si>
  <si>
    <t>Bonus Formula:</t>
  </si>
  <si>
    <t>If Actual &gt; Target: Bonus = ((Actual - Target) / (100% - Target)) × Max Bonus</t>
  </si>
  <si>
    <t>If Actual ≤ Target: No bonus (but still earns base points per existing rules)</t>
  </si>
  <si>
    <t>Max Bonus Points</t>
  </si>
  <si>
    <t>100% Accuracy Bonus</t>
  </si>
  <si>
    <t>Example Calculation</t>
  </si>
  <si>
    <t>Tier 1</t>
  </si>
  <si>
    <t>5.0 pts</t>
  </si>
  <si>
    <t>At 99%: (99%-98%)/(100%-98%) × 5 = 2.5 pts</t>
  </si>
  <si>
    <t>At 92%: (92%-85%)/(100%-85%) × 5 = 2.3 pts</t>
  </si>
  <si>
    <t>Tier 3</t>
  </si>
  <si>
    <t>At 88%: (88%-75%)/(100%-75%) × 5 = 2.6 pts</t>
  </si>
  <si>
    <t>Worked example — Nectar (Tier 3): Target 75%. Actual came in at 82%.</t>
  </si>
  <si>
    <t>(Actual - Target) / (100% - Target) × Max Bonus</t>
  </si>
  <si>
    <t>(82% - 75%) / (100% - 75%) × 5 = 1.4 bonus points</t>
  </si>
  <si>
    <t>KEY IDEA: This bonus rewards departments for going beyond "good enough." The closer to perfect (100%), the more bonus points earned — but it's capped at 5 points maximum to keep the contest balanced.</t>
  </si>
  <si>
    <t>Contest Configuration</t>
  </si>
  <si>
    <t>Forecast Tier</t>
  </si>
  <si>
    <t>Forecast Tolerance</t>
  </si>
  <si>
    <t>Department Type</t>
  </si>
  <si>
    <t>Schedule &amp; Forecast Wt</t>
  </si>
  <si>
    <t>Forecast Accuarcy Wt</t>
  </si>
  <si>
    <t>Labor Effective Wt</t>
  </si>
  <si>
    <t>Missed Punch Wt</t>
  </si>
  <si>
    <t>Forecasting</t>
  </si>
  <si>
    <t>Nonforecasting</t>
  </si>
  <si>
    <t>Labor Effectiveness Tolerance</t>
  </si>
  <si>
    <t>Metric</t>
  </si>
  <si>
    <t>Threshold</t>
  </si>
  <si>
    <t>Notes</t>
  </si>
  <si>
    <t>New Labor Parameters</t>
  </si>
  <si>
    <t>Description</t>
  </si>
  <si>
    <t>Full Points At/Below</t>
  </si>
  <si>
    <t>At or below this (down to 96%) = full labor points</t>
  </si>
  <si>
    <t>101% Tier Fraction</t>
  </si>
  <si>
    <t>101% earns 90% of full labor points</t>
  </si>
  <si>
    <t>Zero Points Above</t>
  </si>
  <si>
    <t>At or above this = 0 points</t>
  </si>
  <si>
    <t>Bonus 90% to &lt;96%</t>
  </si>
  <si>
    <t>Full points + 5 bonus pts (lean &amp; well-managed)</t>
  </si>
  <si>
    <t>Bonus Below 90%</t>
  </si>
  <si>
    <t>Full points + 3 bonus pts (capped; attrition not penalized but not over-rewarded)</t>
  </si>
  <si>
    <t>Max % for Full Points</t>
  </si>
  <si>
    <t>96%-100% all earn full points</t>
  </si>
  <si>
    <t>Labor Effectiveness — Points by Labor % (New Structure)</t>
  </si>
  <si>
    <t>Labor % Spent</t>
  </si>
  <si>
    <t>% of Full Pts</t>
  </si>
  <si>
    <t>Forecasting Pts (30 max)</t>
  </si>
  <si>
    <t>Non-Forecasting Pts (50 max)</t>
  </si>
  <si>
    <t>Full +3</t>
  </si>
  <si>
    <t>Full +5</t>
  </si>
  <si>
    <t>Full points</t>
  </si>
  <si>
    <t>Partial</t>
  </si>
  <si>
    <t>Above 102%</t>
  </si>
  <si>
    <t>Forecast Accuracy Bonus Configuration</t>
  </si>
  <si>
    <t>Bonus earned when exceeding 98% up to 100%</t>
  </si>
  <si>
    <t>Bonus earned when exceeding 85% up to 100%</t>
  </si>
  <si>
    <t>Bonus earned when exceeding 75% up to 100%</t>
  </si>
  <si>
    <t>IF(Actual &gt; Target,</t>
  </si>
  <si>
    <t>MIN(MaxBonus, (Actual - Target) / (100% - Target) × MaxBonus),</t>
  </si>
  <si>
    <t>0)</t>
  </si>
  <si>
    <t>Forecast Accuracy Bonus — Proportional Points by Accuracy Above Target (Tier 3 Example)</t>
  </si>
  <si>
    <t>Actual Accuracy</t>
  </si>
  <si>
    <t>Above Target By</t>
  </si>
  <si>
    <t>Fraction of Max</t>
  </si>
  <si>
    <t>Bonus Points</t>
  </si>
  <si>
    <t>Weekly Score Entry (Saturday - Friday Workweeks)</t>
  </si>
  <si>
    <t>Week Ending
(Friday)</t>
  </si>
  <si>
    <t>Department</t>
  </si>
  <si>
    <t>Dept Type</t>
  </si>
  <si>
    <t>Forecast
Tier</t>
  </si>
  <si>
    <t>Schedule &amp; Forecast
Status</t>
  </si>
  <si>
    <t>Schedule &amp; Forecast
Score</t>
  </si>
  <si>
    <t>Actual Forecast
Accuracy</t>
  </si>
  <si>
    <t>Target Forecast
Accuracy</t>
  </si>
  <si>
    <t>Forecast
Score</t>
  </si>
  <si>
    <t>Forecast
Bonus</t>
  </si>
  <si>
    <t>Labor
Effectiveness %</t>
  </si>
  <si>
    <t>Labor Eff.
Score</t>
  </si>
  <si>
    <t>Labor Eff.
Bonus</t>
  </si>
  <si>
    <t>Missed Punch
Score</t>
  </si>
  <si>
    <t>Total
Score</t>
  </si>
  <si>
    <t>Month</t>
  </si>
  <si>
    <t>Year</t>
  </si>
  <si>
    <t>Reservations</t>
  </si>
  <si>
    <t>Fail</t>
  </si>
  <si>
    <t>IRD</t>
  </si>
  <si>
    <t>Pass</t>
  </si>
  <si>
    <t>Windows</t>
  </si>
  <si>
    <t>Nectar</t>
  </si>
  <si>
    <t>Pier Top</t>
  </si>
  <si>
    <t>Garni</t>
  </si>
  <si>
    <t>Pool</t>
  </si>
  <si>
    <t>Calusso</t>
  </si>
  <si>
    <t>Sotogrande</t>
  </si>
  <si>
    <t>Saltbreeze</t>
  </si>
  <si>
    <t>Elate</t>
  </si>
  <si>
    <t>Spa</t>
  </si>
  <si>
    <t>Front Office</t>
  </si>
  <si>
    <t>Guest Services</t>
  </si>
  <si>
    <t>Bell Service</t>
  </si>
  <si>
    <t>Housekeeping</t>
  </si>
  <si>
    <t>Banquets FOH</t>
  </si>
  <si>
    <t>Banquets BOH</t>
  </si>
  <si>
    <t>Pier Top BOH</t>
  </si>
  <si>
    <t>Garni BOH</t>
  </si>
  <si>
    <t>Calusso BOH</t>
  </si>
  <si>
    <t>Sotogrande BOH</t>
  </si>
  <si>
    <t>Windows/IRD BOH</t>
  </si>
  <si>
    <t>Stewarding</t>
  </si>
  <si>
    <t>Pastry</t>
  </si>
  <si>
    <t>Saltbreeze BOH</t>
  </si>
  <si>
    <t>Engineering</t>
  </si>
  <si>
    <t>Security</t>
  </si>
  <si>
    <t>Weekly Leaderboard</t>
  </si>
  <si>
    <t>Select Week Ending (Friday) →</t>
  </si>
  <si>
    <t>Forecasting Departments</t>
  </si>
  <si>
    <t>Total Score</t>
  </si>
  <si>
    <t>Schedule</t>
  </si>
  <si>
    <t>Forecast</t>
  </si>
  <si>
    <t>Labor</t>
  </si>
  <si>
    <t>Punch</t>
  </si>
  <si>
    <t>Rank</t>
  </si>
  <si>
    <t>Rank Change</t>
  </si>
  <si>
    <t>Nonforecasting Departments</t>
  </si>
  <si>
    <t>Column1</t>
  </si>
  <si>
    <t>Monthly Leaderboard</t>
  </si>
  <si>
    <t>Select Month →</t>
  </si>
  <si>
    <t>Select Year →</t>
  </si>
  <si>
    <t>Yearly Leaderboard</t>
  </si>
  <si>
    <t>How to Use the Scorecard</t>
  </si>
  <si>
    <t>WEEKLY ENTRY (Main Data Entry):</t>
  </si>
  <si>
    <t>1. Enter Week Ending date (always a Friday) in Column A.</t>
  </si>
  <si>
    <t>2. Workweeks run Saturday through Friday.</t>
  </si>
  <si>
    <t>3. Enter department, type, tier, and all inputs for that week.</t>
  </si>
  <si>
    <t>4. Score columns calculate automatically.</t>
  </si>
  <si>
    <t>5. Month is assigned by the Friday date (Week Ending).</t>
  </si>
  <si>
    <t>FORECAST ACCURACY (Tier-Based Tolerance):</t>
  </si>
  <si>
    <t>7. At/above target = full points. Below tolerance = 0.</t>
  </si>
  <si>
    <t>8. Within tolerance = proportional sliding score.</t>
  </si>
  <si>
    <t>LABOR EFFECTIVENESS (Universal):</t>
  </si>
  <si>
    <t>9. 96% to 100% = full labor points (the efficient sweet spot).</t>
  </si>
  <si>
    <t>10. 101% = 90% of full points; 102% and above = 0 points (Config B12).</t>
  </si>
  <si>
    <t>11. Below 96% earns full points + a bonus: +5 from 90% to under 96%, +3 below 90% (Config F12/F13). Bonus is capped so attrition is not over-rewarded.</t>
  </si>
  <si>
    <t>LEADERBOARDS:</t>
  </si>
  <si>
    <t>12. Weekly: enter Week Ending date in B2.</t>
  </si>
  <si>
    <t>13. Monthly: enter Month (1-12) in B2 and Year in D2.</t>
  </si>
  <si>
    <t>14. Yearly: enter Year in B2.</t>
  </si>
  <si>
    <t>15. Monthly totals = average of weekly scores falling in that month.</t>
  </si>
  <si>
    <t>16. A week is assigned to the month where its Friday falls.</t>
  </si>
  <si>
    <t>17. Yearly totals = average of all weekly scores in that year.</t>
  </si>
  <si>
    <t>18. Forecasting and Nonforecasting departments ranked separately.</t>
  </si>
  <si>
    <t>RECOGNITION:</t>
  </si>
  <si>
    <t xml:space="preserve">19. Weekly: best department each week. </t>
  </si>
  <si>
    <t>20. Monthly: best average score across weeks in that month.</t>
  </si>
  <si>
    <t>21. Yearly: best average score across all weeks in the year.</t>
  </si>
  <si>
    <t>CONFIG TAB:</t>
  </si>
  <si>
    <t>22. Edit forecast targets, tolerances, and weights without changing formulas.</t>
  </si>
  <si>
    <t>23. Department names on leaderboard tabs must match Weekly Entry exactly.</t>
  </si>
  <si>
    <t>Weekly Cumulative Scores</t>
  </si>
  <si>
    <t>Week Dates →</t>
  </si>
  <si>
    <t>(Sum÷Weeks)</t>
  </si>
  <si>
    <t>DepartmentID</t>
  </si>
  <si>
    <t>Week 1</t>
  </si>
  <si>
    <t>Week 2</t>
  </si>
  <si>
    <t>Week 3</t>
  </si>
  <si>
    <t>Week 4</t>
  </si>
  <si>
    <t>Week 5</t>
  </si>
  <si>
    <t>Game Score</t>
  </si>
  <si>
    <t>elate</t>
  </si>
  <si>
    <t>nectar</t>
  </si>
  <si>
    <t>pier-top</t>
  </si>
  <si>
    <t>pool</t>
  </si>
  <si>
    <t>spa</t>
  </si>
  <si>
    <t>windows</t>
  </si>
  <si>
    <t>reservations</t>
  </si>
  <si>
    <t>ird</t>
  </si>
  <si>
    <t>garni</t>
  </si>
  <si>
    <t>sotogrande</t>
  </si>
  <si>
    <t>saltbreeze</t>
  </si>
  <si>
    <t>calusso</t>
  </si>
  <si>
    <t>saltbreeze-boh</t>
  </si>
  <si>
    <t>windows-ird-boh</t>
  </si>
  <si>
    <t>security</t>
  </si>
  <si>
    <t>guest-services</t>
  </si>
  <si>
    <t>bell-service</t>
  </si>
  <si>
    <t>pier-top-boh</t>
  </si>
  <si>
    <t>garni-boh</t>
  </si>
  <si>
    <t>calusso-boh</t>
  </si>
  <si>
    <t>sotogrande-boh</t>
  </si>
  <si>
    <t>banquets-boh</t>
  </si>
  <si>
    <t>pastry</t>
  </si>
  <si>
    <t>stewarding</t>
  </si>
  <si>
    <t>housekeeping</t>
  </si>
  <si>
    <t>engineering</t>
  </si>
  <si>
    <t>front-office</t>
  </si>
  <si>
    <t>banquets-foh</t>
  </si>
  <si>
    <t>HOW TO USE THIS SHEET</t>
  </si>
  <si>
    <t>1. SELECT MONTH &amp; YEAR</t>
  </si>
  <si>
    <t xml:space="preserve">   • Change B2 (month) and D2 (year). Friday dates auto-update.</t>
  </si>
  <si>
    <t>2. INDIVIDUAL WEEK SCORES (Columns B-F)</t>
  </si>
  <si>
    <t xml:space="preserve">   • Each column = that week's actual score. Shows 0 if no data.</t>
  </si>
  <si>
    <t>3. GAME SCORE (Column G) — ADAPTIVE</t>
  </si>
  <si>
    <t xml:space="preserve">   • Formula: (All weeks summed) ÷ (Fridays in month)</t>
  </si>
  <si>
    <t xml:space="preserve">   • Auto-divides by 4 or 5 depending on month. Builds toward ~100.</t>
  </si>
  <si>
    <t>4. NO DOUBLE-COUNTING</t>
  </si>
  <si>
    <t xml:space="preserve">   • Each Friday = ONE month only (where Friday falls).</t>
  </si>
  <si>
    <t xml:space="preserve">   • June 26 = June Wk4. July 3 = July Wk1. No overlap.</t>
  </si>
  <si>
    <t>5. MONTHS WITH 5 FRIDAYS (2026)</t>
  </si>
  <si>
    <t xml:space="preserve">   • January, May, July, October have 5 Fridays.</t>
  </si>
  <si>
    <t xml:space="preserve">   • Game Score divides by 5 in those months.</t>
  </si>
  <si>
    <t>6. BOARDEXPORT pulls from Game Score column (G).</t>
  </si>
  <si>
    <t>Weeks Completed</t>
  </si>
  <si>
    <t>Max Weeks</t>
  </si>
  <si>
    <t>Yearly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</si>
</sst>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/dd/yyyy"/>
    <numFmt numFmtId="166" formatCode="0.000"/>
    <numFmt numFmtId="167" formatCode="0.0%"/>
    <numFmt numFmtId="168" formatCode="mm/dd"/>
  </numFmts>
  <fonts count="19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9"/>
      <color rgb="FF1F2937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rgb="FF1F3864"/>
      <name val="Calibri"/>
      <family val="2"/>
      <scheme val="minor"/>
    </font>
    <font>
      <i/>
      <sz val="11"/>
      <color rgb="FF59595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1F4E78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666666"/>
      <name val="Calibri"/>
      <family val="2"/>
      <scheme val="minor"/>
    </font>
    <font>
      <b/>
      <sz val="12"/>
      <color rgb="FF4472C4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AF3FA"/>
      </patternFill>
    </fill>
    <fill>
      <patternFill patternType="solid">
        <fgColor rgb="FFE2F0D9"/>
      </patternFill>
    </fill>
    <fill>
      <patternFill patternType="solid">
        <fgColor rgb="FFF1F8EC"/>
      </patternFill>
    </fill>
    <fill>
      <patternFill patternType="solid">
        <fgColor rgb="FFFFF2CC"/>
      </patternFill>
    </fill>
    <fill>
      <patternFill patternType="solid">
        <fgColor rgb="FFFFFFFF"/>
      </patternFill>
    </fill>
    <fill>
      <patternFill patternType="solid">
        <fgColor rgb="FFF3F4F6"/>
      </patternFill>
    </fill>
    <fill>
      <patternFill patternType="solid">
        <fgColor rgb="FFFFF9E6"/>
      </patternFill>
    </fill>
    <fill>
      <patternFill patternType="solid">
        <fgColor rgb="FF2E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gray125">
        <bgColor rgb="FFF3F4F6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8F9FA"/>
        <bgColor indexed="64"/>
      </patternFill>
    </fill>
  </fills>
  <borders count="1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9" fontId="0" fillId="4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65" fontId="0" fillId="0" borderId="0" xfId="0" applyNumberFormat="1"/>
    <xf numFmtId="1" fontId="0" fillId="0" borderId="0" xfId="0" applyNumberFormat="1"/>
    <xf numFmtId="9" fontId="0" fillId="0" borderId="0" xfId="0" applyNumberFormat="1"/>
    <xf numFmtId="164" fontId="0" fillId="0" borderId="0" xfId="0" applyNumberFormat="1"/>
    <xf numFmtId="0" fontId="2" fillId="7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11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0" fillId="12" borderId="0" xfId="0" applyFont="1" applyFill="1" applyAlignment="1">
      <alignment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7" xfId="0" applyBorder="1" applyAlignment="1">
      <alignment wrapText="1"/>
    </xf>
    <xf numFmtId="0" fontId="6" fillId="13" borderId="7" xfId="0" applyFont="1" applyFill="1" applyBorder="1" applyAlignment="1">
      <alignment wrapText="1"/>
    </xf>
    <xf numFmtId="0" fontId="10" fillId="14" borderId="0" xfId="0" applyFont="1" applyFill="1"/>
    <xf numFmtId="0" fontId="6" fillId="15" borderId="7" xfId="0" applyFont="1" applyFill="1" applyBorder="1"/>
    <xf numFmtId="0" fontId="0" fillId="0" borderId="7" xfId="0" applyBorder="1" applyAlignment="1">
      <alignment horizontal="center" wrapText="1"/>
    </xf>
    <xf numFmtId="0" fontId="6" fillId="13" borderId="7" xfId="0" applyFont="1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6" fillId="15" borderId="7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16" borderId="0" xfId="0" applyFont="1" applyFill="1"/>
    <xf numFmtId="0" fontId="0" fillId="17" borderId="0" xfId="0" applyFill="1"/>
    <xf numFmtId="9" fontId="0" fillId="17" borderId="0" xfId="0" applyNumberFormat="1" applyFill="1"/>
    <xf numFmtId="0" fontId="0" fillId="18" borderId="0" xfId="0" applyFill="1"/>
    <xf numFmtId="0" fontId="0" fillId="15" borderId="0" xfId="0" applyFill="1"/>
    <xf numFmtId="164" fontId="0" fillId="18" borderId="0" xfId="0" applyNumberFormat="1" applyFill="1"/>
    <xf numFmtId="1" fontId="0" fillId="17" borderId="0" xfId="0" applyNumberFormat="1" applyFill="1"/>
    <xf numFmtId="0" fontId="12" fillId="15" borderId="0" xfId="0" applyFont="1" applyFill="1" applyAlignment="1">
      <alignment wrapText="1"/>
    </xf>
    <xf numFmtId="0" fontId="6" fillId="4" borderId="9" xfId="0" applyFont="1" applyFill="1" applyBorder="1" applyAlignment="1">
      <alignment horizontal="center"/>
    </xf>
    <xf numFmtId="0" fontId="6" fillId="13" borderId="6" xfId="0" applyFont="1" applyFill="1" applyBorder="1"/>
    <xf numFmtId="9" fontId="0" fillId="0" borderId="7" xfId="0" applyNumberFormat="1" applyBorder="1"/>
    <xf numFmtId="0" fontId="13" fillId="0" borderId="0" xfId="0" applyFont="1"/>
    <xf numFmtId="0" fontId="10" fillId="12" borderId="10" xfId="0" applyFont="1" applyFill="1" applyBorder="1" applyAlignment="1">
      <alignment horizontal="center"/>
    </xf>
    <xf numFmtId="9" fontId="0" fillId="0" borderId="10" xfId="0" applyNumberFormat="1" applyBorder="1"/>
    <xf numFmtId="166" fontId="0" fillId="0" borderId="10" xfId="0" applyNumberFormat="1" applyBorder="1"/>
    <xf numFmtId="167" fontId="0" fillId="0" borderId="10" xfId="0" applyNumberFormat="1" applyBorder="1"/>
    <xf numFmtId="164" fontId="0" fillId="0" borderId="10" xfId="0" applyNumberFormat="1" applyBorder="1"/>
    <xf numFmtId="0" fontId="6" fillId="0" borderId="0" xfId="0" applyFont="1"/>
    <xf numFmtId="0" fontId="6" fillId="15" borderId="0" xfId="0" applyFont="1" applyFill="1"/>
    <xf numFmtId="0" fontId="14" fillId="0" borderId="0" xfId="0" applyFont="1"/>
    <xf numFmtId="0" fontId="15" fillId="0" borderId="0" xfId="0" applyFont="1"/>
    <xf numFmtId="0" fontId="10" fillId="0" borderId="0" xfId="0" applyFont="1"/>
    <xf numFmtId="0" fontId="6" fillId="13" borderId="11" xfId="0" applyFont="1" applyFill="1" applyBorder="1"/>
    <xf numFmtId="0" fontId="14" fillId="18" borderId="0" xfId="0" applyFont="1" applyFill="1" applyAlignment="1">
      <alignment wrapText="1"/>
    </xf>
    <xf numFmtId="0" fontId="0" fillId="18" borderId="0" xfId="0" applyFill="1" applyAlignment="1">
      <alignment wrapText="1"/>
    </xf>
    <xf numFmtId="164" fontId="0" fillId="18" borderId="0" xfId="0" applyNumberFormat="1" applyFill="1" applyAlignment="1">
      <alignment wrapText="1"/>
    </xf>
    <xf numFmtId="49" fontId="0" fillId="17" borderId="0" xfId="0" applyNumberFormat="1" applyFill="1"/>
    <xf numFmtId="0" fontId="6" fillId="20" borderId="0" xfId="0" applyFont="1" applyFill="1" applyAlignment="1">
      <alignment wrapText="1"/>
    </xf>
    <xf numFmtId="167" fontId="0" fillId="0" borderId="10" xfId="0" applyNumberFormat="1" applyBorder="1" applyAlignment="1">
      <alignment horizontal="right"/>
    </xf>
    <xf numFmtId="0" fontId="0" fillId="21" borderId="0" xfId="0" applyFill="1"/>
    <xf numFmtId="0" fontId="16" fillId="22" borderId="0" xfId="0" applyFont="1" applyFill="1"/>
    <xf numFmtId="0" fontId="2" fillId="3" borderId="4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0" fillId="23" borderId="4" xfId="0" applyFill="1" applyBorder="1" applyAlignment="1">
      <alignment horizontal="left"/>
    </xf>
    <xf numFmtId="164" fontId="0" fillId="24" borderId="4" xfId="0" applyNumberFormat="1" applyFill="1" applyBorder="1" applyAlignment="1">
      <alignment horizontal="center"/>
    </xf>
    <xf numFmtId="1" fontId="0" fillId="24" borderId="4" xfId="0" applyNumberFormat="1" applyFill="1" applyBorder="1" applyAlignment="1">
      <alignment horizontal="center"/>
    </xf>
    <xf numFmtId="164" fontId="0" fillId="24" borderId="3" xfId="0" applyNumberFormat="1" applyFill="1" applyBorder="1" applyAlignment="1">
      <alignment horizontal="center"/>
    </xf>
    <xf numFmtId="0" fontId="0" fillId="8" borderId="4" xfId="0" applyFill="1" applyBorder="1" applyAlignment="1">
      <alignment horizontal="left"/>
    </xf>
    <xf numFmtId="164" fontId="0" fillId="9" borderId="4" xfId="0" applyNumberFormat="1" applyFill="1" applyBorder="1" applyAlignment="1">
      <alignment horizontal="center"/>
    </xf>
    <xf numFmtId="1" fontId="0" fillId="9" borderId="4" xfId="0" applyNumberFormat="1" applyFill="1" applyBorder="1" applyAlignment="1">
      <alignment horizontal="center"/>
    </xf>
    <xf numFmtId="0" fontId="0" fillId="8" borderId="2" xfId="0" applyFill="1" applyBorder="1" applyAlignment="1">
      <alignment horizontal="left"/>
    </xf>
    <xf numFmtId="164" fontId="0" fillId="9" borderId="2" xfId="0" applyNumberFormat="1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164" fontId="0" fillId="24" borderId="1" xfId="0" applyNumberFormat="1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1" fontId="0" fillId="9" borderId="3" xfId="0" applyNumberFormat="1" applyFill="1" applyBorder="1" applyAlignment="1">
      <alignment horizontal="center"/>
    </xf>
    <xf numFmtId="1" fontId="0" fillId="24" borderId="3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65" fontId="5" fillId="10" borderId="1" xfId="0" applyNumberFormat="1" applyFont="1" applyFill="1" applyBorder="1" applyAlignment="1" applyProtection="1">
      <alignment horizontal="center"/>
      <protection locked="0"/>
    </xf>
    <xf numFmtId="0" fontId="0" fillId="18" borderId="12" xfId="0" applyFill="1" applyBorder="1"/>
    <xf numFmtId="0" fontId="17" fillId="0" borderId="0" xfId="0" applyFont="1"/>
    <xf numFmtId="168" fontId="17" fillId="0" borderId="0" xfId="0" applyNumberFormat="1" applyFont="1"/>
    <xf numFmtId="0" fontId="10" fillId="12" borderId="7" xfId="0" applyFont="1" applyFill="1" applyBorder="1"/>
    <xf numFmtId="0" fontId="10" fillId="12" borderId="0" xfId="0" applyFont="1" applyFill="1"/>
    <xf numFmtId="0" fontId="0" fillId="26" borderId="7" xfId="0" applyFill="1" applyBorder="1"/>
    <xf numFmtId="164" fontId="0" fillId="26" borderId="7" xfId="0" applyNumberFormat="1" applyFill="1" applyBorder="1"/>
    <xf numFmtId="164" fontId="0" fillId="15" borderId="0" xfId="0" applyNumberFormat="1" applyFill="1"/>
    <xf numFmtId="164" fontId="0" fillId="0" borderId="7" xfId="0" applyNumberFormat="1" applyBorder="1"/>
    <xf numFmtId="0" fontId="18" fillId="27" borderId="0" xfId="0" applyFont="1" applyFill="1"/>
    <xf numFmtId="0" fontId="0" fillId="27" borderId="0" xfId="0" applyFill="1"/>
    <xf numFmtId="0" fontId="6" fillId="27" borderId="0" xfId="0" applyFont="1" applyFill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9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font>
        <color rgb="FFCC0000"/>
      </font>
    </dxf>
    <dxf>
      <font>
        <color rgb="FF006400"/>
      </font>
    </dxf>
    <dxf>
      <font>
        <color rgb="FFCC0000"/>
      </font>
    </dxf>
    <dxf>
      <font>
        <color rgb="FF006400"/>
      </font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A00DE0-124A-4A41-A8AC-C62A9637A57A}" name="tblBoardExport" displayName="tblBoardExport" ref="A1:M29" totalsRowShown="0">
  <autoFilter ref="A1:M29" xr:uid="{2AA00DE0-124A-4A41-A8AC-C62A9637A57A}"/>
  <tableColumns count="13">
    <tableColumn id="1" xr3:uid="{B5AA29A2-4043-4946-BBA4-498AF460B26C}" name="DepartmentID"/>
    <tableColumn id="2" xr3:uid="{EDF769BA-7D2E-4606-8BA8-BD5B2356181C}" name="Game Score" dataDxfId="18">
      <calculatedColumnFormula>IFERROR(VLOOKUP(tblBoardExport[[#This Row],[DepartmentID]], WeeklyCumulative!$A$5:$G$32, 7, FALSE), "")</calculatedColumnFormula>
    </tableColumn>
    <tableColumn id="3" xr3:uid="{E38F5773-6134-4EC9-90A0-1386A9977320}" name="Total Score">
      <calculatedColumnFormula array="1">IFERROR(SUMPRODUCT((WeeklyCumulative!$A$5:$A$32=tblBoardExport[[#This Row],[DepartmentID]])*(WeeklyCumulative!$B$5:$F$32)),0)</calculatedColumnFormula>
    </tableColumn>
    <tableColumn id="4" xr3:uid="{5ECB6835-C8CE-4C36-8DDE-0FD368B6DB04}" name="Month">
      <calculatedColumnFormula>WeeklyCumulative!$B$2</calculatedColumnFormula>
    </tableColumn>
    <tableColumn id="5" xr3:uid="{05A30ACA-06E5-498B-9C53-6E44AAA26E1F}" name="Year">
      <calculatedColumnFormula>WeeklyCumulative!$D$2</calculatedColumnFormula>
    </tableColumn>
    <tableColumn id="6" xr3:uid="{940AB751-BF49-455A-9AB9-9C8C1F1F13B4}" name="Weeks Completed">
      <calculatedColumnFormula array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calculatedColumnFormula>
    </tableColumn>
    <tableColumn id="7" xr3:uid="{20B8D3D2-9098-4CE9-B64E-F0D657ECBB1D}" name="Max Weeks">
      <calculatedColumnFormula array="1">_xlfn.LET(_xlpm.m,WeeklyCumulative!$B$2,_xlpm.y,WeeklyCumulative!$D$2,_xlpm.firstDay,DATE(_xlpm.y,_xlpm.m,1),_xlpm.lastDay,EOMONTH(_xlpm.firstDay,0),SUMPRODUCT((WEEKDAY(ROW(INDIRECT(_xlpm.firstDay&amp;":"&amp;_xlpm.lastDay)),2)=5)*1))</calculatedColumnFormula>
    </tableColumn>
    <tableColumn id="8" xr3:uid="{CEEB7EEA-6001-44EC-8BFE-B57A29EA5A0F}" name="Yearly Score" dataDxfId="17">
      <calculatedColumnFormula array="1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calculatedColumnFormula>
    </tableColumn>
    <tableColumn id="9" xr3:uid="{076D8411-FF38-4D49-BC43-1218B3BCBD8F}" name="Week 1" dataDxfId="16">
      <calculatedColumnFormula array="1">IFERROR(SUMPRODUCT((WeeklyCumulative!$A$5:$A$32=tblBoardExport[[#This Row],[DepartmentID]])*(WeeklyCumulative!$B$5:$B$32)),0)</calculatedColumnFormula>
    </tableColumn>
    <tableColumn id="10" xr3:uid="{4CBD09C2-9A9A-49B6-8F8B-CBDB0AA7058A}" name="Week 2" dataDxfId="15">
      <calculatedColumnFormula array="1">IFERROR(SUMPRODUCT((WeeklyCumulative!$A$5:$A$32=tblBoardExport[[#This Row],[DepartmentID]])*(WeeklyCumulative!$C$5:$C$32)),0)</calculatedColumnFormula>
    </tableColumn>
    <tableColumn id="11" xr3:uid="{A9A98886-D8EA-4A7C-9C75-1750E3EEF7B3}" name="Week 3" dataDxfId="14">
      <calculatedColumnFormula array="1">IFERROR(SUMPRODUCT((WeeklyCumulative!$A$5:$A$32=tblBoardExport[[#This Row],[DepartmentID]])*(WeeklyCumulative!$D$5:$D$32)),0)</calculatedColumnFormula>
    </tableColumn>
    <tableColumn id="12" xr3:uid="{CBCC1850-6A30-461E-8B2C-62B3FE71DF49}" name="Week 4" dataDxfId="13">
      <calculatedColumnFormula array="1">IFERROR(SUMPRODUCT((WeeklyCumulative!$A$5:$A$32=tblBoardExport[[#This Row],[DepartmentID]])*(WeeklyCumulative!$E$5:$E$32)),0)</calculatedColumnFormula>
    </tableColumn>
    <tableColumn id="13" xr3:uid="{2C3F1515-06FB-405C-9C81-0FDBF1BEC226}" name="Week 5" dataDxfId="12">
      <calculatedColumnFormula array="1">IFERROR(SUMPRODUCT((WeeklyCumulative!$A$5:$A$32=tblBoardExport[[#This Row],[DepartmentID]])*(WeeklyCumulative!$F$5:$F$32)),0)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52B3C9-B06E-4DAF-A9D6-620BE0DA9FEF}" name="tblBoardExport3" displayName="tblBoardExport3" ref="A1:N29" totalsRowShown="0">
  <autoFilter ref="A1:N29" xr:uid="{2AA00DE0-124A-4A41-A8AC-C62A9637A57A}"/>
  <sortState xmlns:xlrd2="http://schemas.microsoft.com/office/spreadsheetml/2017/richdata2" ref="A2:N29">
    <sortCondition ref="N1:N29"/>
  </sortState>
  <tableColumns count="14">
    <tableColumn id="1" xr3:uid="{8E5D487B-636C-4EC9-AB80-DE8190248E50}" name="DepartmentID"/>
    <tableColumn id="2" xr3:uid="{B326B1CE-255E-47DE-92B4-9E8F8A6DE0D6}" name="Game Score" dataDxfId="7">
      <calculatedColumnFormula>IFERROR(VLOOKUP(tblBoardExport3[[#This Row],[DepartmentID]], WeeklyCumulative!$A$5:$G$32, 7, FALSE), "")</calculatedColumnFormula>
    </tableColumn>
    <tableColumn id="3" xr3:uid="{44BB91CF-77FA-42E8-A4FB-E1B9462E77F5}" name="Total Score">
      <calculatedColumnFormula array="1">IFERROR(SUMPRODUCT((WeeklyCumulative!$A$5:$A$32=tblBoardExport3[[#This Row],[DepartmentID]])*(WeeklyCumulative!$B$5:$F$32)),0)</calculatedColumnFormula>
    </tableColumn>
    <tableColumn id="4" xr3:uid="{65C60175-61D2-4244-99B4-9B6D53D2C733}" name="Month">
      <calculatedColumnFormula>WeeklyCumulative!$B$2</calculatedColumnFormula>
    </tableColumn>
    <tableColumn id="5" xr3:uid="{8977B89D-BB8D-4F3E-8B20-785352255A57}" name="Year">
      <calculatedColumnFormula>WeeklyCumulative!$D$2</calculatedColumnFormula>
    </tableColumn>
    <tableColumn id="6" xr3:uid="{1AB8F464-66A8-4818-906F-78ED19DB8F34}" name="Weeks Completed">
      <calculatedColumnFormula array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calculatedColumnFormula>
    </tableColumn>
    <tableColumn id="7" xr3:uid="{60E6B169-4754-44BB-A300-EA8344D7B0B9}" name="Max Weeks">
      <calculatedColumnFormula array="1">_xlfn.LET(_xlpm.m,WeeklyCumulative!$B$2,_xlpm.y,WeeklyCumulative!$D$2,_xlpm.firstDay,DATE(_xlpm.y,_xlpm.m,1),_xlpm.lastDay,EOMONTH(_xlpm.firstDay,0),SUMPRODUCT((WEEKDAY(ROW(INDIRECT(_xlpm.firstDay&amp;":"&amp;_xlpm.lastDay)),2)=5)*1))</calculatedColumnFormula>
    </tableColumn>
    <tableColumn id="8" xr3:uid="{A9BB3BD9-AF52-45A2-953E-735301B48790}" name="Yearly Score" dataDxfId="6">
      <calculatedColumnFormula array="1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calculatedColumnFormula>
    </tableColumn>
    <tableColumn id="9" xr3:uid="{9A947E98-77F8-4A64-85F6-4EC53F0C7097}" name="Week 1" dataDxfId="5">
      <calculatedColumnFormula array="1">IFERROR(SUMPRODUCT((WeeklyCumulative!$A$5:$A$32=tblBoardExport3[[#This Row],[DepartmentID]])*(WeeklyCumulative!$B$5:$B$32)),0)</calculatedColumnFormula>
    </tableColumn>
    <tableColumn id="10" xr3:uid="{C29AEB0A-2862-4325-B973-F452F63B80C9}" name="Week 2" dataDxfId="4">
      <calculatedColumnFormula array="1">IFERROR(SUMPRODUCT((WeeklyCumulative!$A$5:$A$32=tblBoardExport3[[#This Row],[DepartmentID]])*(WeeklyCumulative!$C$5:$C$32)),0)</calculatedColumnFormula>
    </tableColumn>
    <tableColumn id="11" xr3:uid="{7287F345-DF2E-474B-94DB-9FDA8F3BB860}" name="Week 3" dataDxfId="3">
      <calculatedColumnFormula array="1">IFERROR(SUMPRODUCT((WeeklyCumulative!$A$5:$A$32=tblBoardExport3[[#This Row],[DepartmentID]])*(WeeklyCumulative!$D$5:$D$32)),0)</calculatedColumnFormula>
    </tableColumn>
    <tableColumn id="12" xr3:uid="{F4906BF6-423B-4F72-A12C-FC0A0B4A9C8F}" name="Week 4" dataDxfId="2">
      <calculatedColumnFormula array="1">IFERROR(SUMPRODUCT((WeeklyCumulative!$A$5:$A$32=tblBoardExport3[[#This Row],[DepartmentID]])*(WeeklyCumulative!$E$5:$E$32)),0)</calculatedColumnFormula>
    </tableColumn>
    <tableColumn id="13" xr3:uid="{BD69231F-38F4-40BD-BE46-33A2DEDADC1F}" name="Week 5" dataDxfId="1">
      <calculatedColumnFormula array="1">IFERROR(SUMPRODUCT((WeeklyCumulative!$A$5:$A$32=tblBoardExport3[[#This Row],[DepartmentID]])*(WeeklyCumulative!$F$5:$F$32)),0)</calculatedColumnFormula>
    </tableColumn>
    <tableColumn id="14" xr3:uid="{279FA6DF-377F-43DD-851B-9FB6595277D0}" name="Rank" dataDxfId="0">
      <calculatedColumnFormula>_xlfn.RANK.AVG(tblBoardExport3[[#This Row],[Game Score]],tblBoardExport3[Game Score],0)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A7203-4975-413F-8298-A0B15D121DDB}">
  <sheetPr codeName="Sheet1"/>
  <dimension ref="A1:E80"/>
  <sheetViews>
    <sheetView showGridLines="0" workbookViewId="0">
      <selection activeCell="B50" sqref="B50"/>
    </sheetView>
  </sheetViews>
  <sheetFormatPr defaultRowHeight="15" x14ac:dyDescent="0.25"/>
  <cols>
    <col min="1" max="1" width="99.7109375" customWidth="1"/>
    <col min="2" max="2" width="50.140625" customWidth="1"/>
    <col min="3" max="3" width="21.7109375" customWidth="1"/>
    <col min="4" max="4" width="19.42578125" customWidth="1"/>
  </cols>
  <sheetData>
    <row r="1" spans="1:4" ht="23.25" x14ac:dyDescent="0.35">
      <c r="A1" s="16" t="s">
        <v>0</v>
      </c>
    </row>
    <row r="2" spans="1:4" x14ac:dyDescent="0.25">
      <c r="A2" s="17" t="s">
        <v>1</v>
      </c>
    </row>
    <row r="4" spans="1:4" ht="17.25" x14ac:dyDescent="0.3">
      <c r="A4" s="18" t="s">
        <v>2</v>
      </c>
    </row>
    <row r="5" spans="1:4" ht="60" customHeight="1" x14ac:dyDescent="0.25">
      <c r="A5" s="20" t="s">
        <v>3</v>
      </c>
    </row>
    <row r="7" spans="1:4" ht="17.25" x14ac:dyDescent="0.3">
      <c r="A7" s="18" t="s">
        <v>4</v>
      </c>
    </row>
    <row r="8" spans="1:4" ht="30" x14ac:dyDescent="0.25">
      <c r="A8" s="21" t="s">
        <v>5</v>
      </c>
      <c r="B8" s="21" t="s">
        <v>6</v>
      </c>
      <c r="C8" s="21" t="s">
        <v>7</v>
      </c>
      <c r="D8" s="21" t="s">
        <v>8</v>
      </c>
    </row>
    <row r="9" spans="1:4" x14ac:dyDescent="0.25">
      <c r="A9" s="25" t="s">
        <v>9</v>
      </c>
      <c r="B9" s="25" t="s">
        <v>10</v>
      </c>
      <c r="C9" s="29">
        <v>30</v>
      </c>
      <c r="D9" s="29">
        <v>30</v>
      </c>
    </row>
    <row r="10" spans="1:4" x14ac:dyDescent="0.25">
      <c r="A10" s="25" t="s">
        <v>11</v>
      </c>
      <c r="B10" s="25" t="s">
        <v>12</v>
      </c>
      <c r="C10" s="29">
        <v>30</v>
      </c>
      <c r="D10" s="29" t="s">
        <v>13</v>
      </c>
    </row>
    <row r="11" spans="1:4" ht="30" x14ac:dyDescent="0.25">
      <c r="A11" s="25" t="s">
        <v>14</v>
      </c>
      <c r="B11" s="25" t="s">
        <v>15</v>
      </c>
      <c r="C11" s="29">
        <v>30</v>
      </c>
      <c r="D11" s="29">
        <v>50</v>
      </c>
    </row>
    <row r="12" spans="1:4" x14ac:dyDescent="0.25">
      <c r="A12" s="25" t="s">
        <v>16</v>
      </c>
      <c r="B12" s="25" t="s">
        <v>17</v>
      </c>
      <c r="C12" s="29">
        <v>10</v>
      </c>
      <c r="D12" s="29">
        <v>20</v>
      </c>
    </row>
    <row r="13" spans="1:4" x14ac:dyDescent="0.25">
      <c r="A13" s="26" t="s">
        <v>18</v>
      </c>
      <c r="B13" s="26" t="s">
        <v>19</v>
      </c>
      <c r="C13" s="30">
        <v>100</v>
      </c>
      <c r="D13" s="30">
        <v>100</v>
      </c>
    </row>
    <row r="15" spans="1:4" ht="60" customHeight="1" x14ac:dyDescent="0.25">
      <c r="A15" s="20" t="s">
        <v>20</v>
      </c>
    </row>
    <row r="17" spans="1:3" ht="17.25" x14ac:dyDescent="0.3">
      <c r="A17" s="18" t="s">
        <v>21</v>
      </c>
    </row>
    <row r="18" spans="1:3" x14ac:dyDescent="0.25">
      <c r="A18" s="27" t="s">
        <v>22</v>
      </c>
      <c r="B18" s="27" t="s">
        <v>23</v>
      </c>
      <c r="C18" s="27" t="s">
        <v>24</v>
      </c>
    </row>
    <row r="19" spans="1:3" x14ac:dyDescent="0.25">
      <c r="A19" s="23" t="s">
        <v>9</v>
      </c>
      <c r="B19" s="23" t="s">
        <v>25</v>
      </c>
      <c r="C19" s="31">
        <v>30</v>
      </c>
    </row>
    <row r="20" spans="1:3" x14ac:dyDescent="0.25">
      <c r="A20" s="23" t="s">
        <v>11</v>
      </c>
      <c r="B20" s="23" t="s">
        <v>26</v>
      </c>
      <c r="C20" s="31">
        <v>30</v>
      </c>
    </row>
    <row r="21" spans="1:3" x14ac:dyDescent="0.25">
      <c r="A21" s="23" t="s">
        <v>14</v>
      </c>
      <c r="B21" s="23" t="s">
        <v>27</v>
      </c>
      <c r="C21" s="31">
        <v>30</v>
      </c>
    </row>
    <row r="22" spans="1:3" x14ac:dyDescent="0.25">
      <c r="A22" s="23" t="s">
        <v>16</v>
      </c>
      <c r="B22" s="23" t="s">
        <v>28</v>
      </c>
      <c r="C22" s="31">
        <v>10</v>
      </c>
    </row>
    <row r="23" spans="1:3" x14ac:dyDescent="0.25">
      <c r="A23" s="28" t="s">
        <v>29</v>
      </c>
      <c r="B23" s="28" t="s">
        <v>30</v>
      </c>
      <c r="C23" s="32">
        <v>100</v>
      </c>
    </row>
    <row r="25" spans="1:3" ht="17.25" x14ac:dyDescent="0.3">
      <c r="A25" s="18" t="s">
        <v>31</v>
      </c>
    </row>
    <row r="26" spans="1:3" x14ac:dyDescent="0.25">
      <c r="A26" s="27" t="s">
        <v>22</v>
      </c>
      <c r="B26" s="27" t="s">
        <v>23</v>
      </c>
      <c r="C26" s="27" t="s">
        <v>24</v>
      </c>
    </row>
    <row r="27" spans="1:3" x14ac:dyDescent="0.25">
      <c r="A27" s="23" t="s">
        <v>9</v>
      </c>
      <c r="B27" s="23" t="s">
        <v>25</v>
      </c>
      <c r="C27" s="31">
        <v>30</v>
      </c>
    </row>
    <row r="28" spans="1:3" x14ac:dyDescent="0.25">
      <c r="A28" s="23" t="s">
        <v>14</v>
      </c>
      <c r="B28" s="23" t="s">
        <v>27</v>
      </c>
      <c r="C28" s="31">
        <v>50</v>
      </c>
    </row>
    <row r="29" spans="1:3" x14ac:dyDescent="0.25">
      <c r="A29" s="23" t="s">
        <v>16</v>
      </c>
      <c r="B29" s="23" t="s">
        <v>28</v>
      </c>
      <c r="C29" s="31">
        <v>20</v>
      </c>
    </row>
    <row r="30" spans="1:3" x14ac:dyDescent="0.25">
      <c r="A30" s="28" t="s">
        <v>29</v>
      </c>
      <c r="B30" s="28" t="s">
        <v>30</v>
      </c>
      <c r="C30" s="32">
        <v>100</v>
      </c>
    </row>
    <row r="32" spans="1:3" ht="17.25" x14ac:dyDescent="0.3">
      <c r="A32" s="18" t="s">
        <v>32</v>
      </c>
    </row>
    <row r="33" spans="1:4" ht="60" customHeight="1" x14ac:dyDescent="0.25">
      <c r="A33" s="20" t="s">
        <v>33</v>
      </c>
    </row>
    <row r="34" spans="1:4" ht="30" x14ac:dyDescent="0.25">
      <c r="A34" s="62" t="s">
        <v>34</v>
      </c>
    </row>
    <row r="35" spans="1:4" ht="17.25" x14ac:dyDescent="0.3">
      <c r="A35" s="18" t="s">
        <v>35</v>
      </c>
    </row>
    <row r="36" spans="1:4" ht="45" customHeight="1" x14ac:dyDescent="0.25">
      <c r="A36" s="20" t="s">
        <v>36</v>
      </c>
    </row>
    <row r="38" spans="1:4" ht="45" customHeight="1" x14ac:dyDescent="0.25">
      <c r="A38" s="20" t="s">
        <v>37</v>
      </c>
    </row>
    <row r="40" spans="1:4" ht="18.75" x14ac:dyDescent="0.3">
      <c r="A40" s="33" t="s">
        <v>38</v>
      </c>
    </row>
    <row r="41" spans="1:4" ht="45" x14ac:dyDescent="0.25">
      <c r="A41" s="19" t="s">
        <v>39</v>
      </c>
    </row>
    <row r="43" spans="1:4" x14ac:dyDescent="0.25">
      <c r="A43" s="34" t="s">
        <v>40</v>
      </c>
    </row>
    <row r="44" spans="1:4" x14ac:dyDescent="0.25">
      <c r="A44" s="35" t="s">
        <v>41</v>
      </c>
      <c r="B44" s="35" t="s">
        <v>42</v>
      </c>
      <c r="C44" s="35" t="s">
        <v>43</v>
      </c>
      <c r="D44" s="35" t="s">
        <v>44</v>
      </c>
    </row>
    <row r="45" spans="1:4" x14ac:dyDescent="0.25">
      <c r="A45" s="36" t="s">
        <v>45</v>
      </c>
      <c r="B45" s="37">
        <f>Config!B4</f>
        <v>0.95</v>
      </c>
      <c r="C45" s="37">
        <f>Config!C4</f>
        <v>0.03</v>
      </c>
      <c r="D45" s="37">
        <f>Config!B4-Config!C4</f>
        <v>0.91999999999999993</v>
      </c>
    </row>
    <row r="46" spans="1:4" x14ac:dyDescent="0.25">
      <c r="A46" s="36" t="s">
        <v>46</v>
      </c>
      <c r="B46" s="37">
        <f>Config!B5</f>
        <v>0.85</v>
      </c>
      <c r="C46" s="37">
        <f>Config!C5</f>
        <v>0.05</v>
      </c>
      <c r="D46" s="37">
        <f>Config!B5-Config!C5</f>
        <v>0.79999999999999993</v>
      </c>
    </row>
    <row r="47" spans="1:4" x14ac:dyDescent="0.25">
      <c r="A47" s="36" t="s">
        <v>47</v>
      </c>
      <c r="B47" s="37">
        <f>Config!B6</f>
        <v>0.75</v>
      </c>
      <c r="C47" s="37">
        <f>Config!C6</f>
        <v>0.05</v>
      </c>
      <c r="D47" s="37">
        <f>Config!B6-Config!C6</f>
        <v>0.7</v>
      </c>
    </row>
    <row r="49" spans="1:5" ht="30" x14ac:dyDescent="0.25">
      <c r="A49" s="19" t="str">
        <f>"Worked example — Windows (Tier 3): Target "&amp;TEXT(Config!B6,"0%")&amp;", tolerance "&amp;TEXT(Config!C6,"0%")&amp;" (from Config), so the ramp runs "&amp;TEXT(Config!B6,"0%")&amp;" (=30 pts) down to "&amp;TEXT(Config!B6-Config!C6,"0%")&amp;" (=0 pts). Windows came in at 70%."</f>
        <v>Worked example — Windows (Tier 3): Target 75%, tolerance 5% (from Config), so the ramp runs 75% (=30 pts) down to 70% (=0 pts). Windows came in at 70%.</v>
      </c>
    </row>
    <row r="50" spans="1:5" x14ac:dyDescent="0.25">
      <c r="A50" s="38" t="s">
        <v>48</v>
      </c>
      <c r="B50" s="38" t="s">
        <v>49</v>
      </c>
      <c r="C50" s="38" t="s">
        <v>50</v>
      </c>
      <c r="D50" s="40">
        <f>((0.7-(Config!B6-Config!C6))/Config!C6)*Config!G4</f>
        <v>0</v>
      </c>
    </row>
    <row r="52" spans="1:5" x14ac:dyDescent="0.25">
      <c r="A52" s="34" t="s">
        <v>51</v>
      </c>
    </row>
    <row r="53" spans="1:5" x14ac:dyDescent="0.25">
      <c r="A53" s="35" t="s">
        <v>52</v>
      </c>
      <c r="B53" s="35" t="s">
        <v>53</v>
      </c>
      <c r="C53" s="35" t="s">
        <v>54</v>
      </c>
      <c r="D53" s="35" t="s">
        <v>55</v>
      </c>
      <c r="E53" s="52"/>
    </row>
    <row r="54" spans="1:5" x14ac:dyDescent="0.25">
      <c r="A54" s="36" t="s">
        <v>56</v>
      </c>
      <c r="B54" s="36" t="s">
        <v>57</v>
      </c>
      <c r="C54" s="41">
        <v>30</v>
      </c>
      <c r="D54" s="41">
        <v>50</v>
      </c>
    </row>
    <row r="55" spans="1:5" x14ac:dyDescent="0.25">
      <c r="A55" s="61" t="s">
        <v>58</v>
      </c>
      <c r="B55" s="36" t="s">
        <v>59</v>
      </c>
      <c r="C55" s="36">
        <v>27</v>
      </c>
      <c r="D55" s="36">
        <v>45</v>
      </c>
    </row>
    <row r="56" spans="1:5" x14ac:dyDescent="0.25">
      <c r="A56" s="36" t="s">
        <v>60</v>
      </c>
      <c r="B56" s="36" t="s">
        <v>61</v>
      </c>
      <c r="C56" s="36">
        <v>0</v>
      </c>
      <c r="D56" s="36">
        <v>0</v>
      </c>
    </row>
    <row r="57" spans="1:5" x14ac:dyDescent="0.25">
      <c r="A57" s="34" t="s">
        <v>62</v>
      </c>
      <c r="B57" t="s">
        <v>63</v>
      </c>
      <c r="C57" t="s">
        <v>64</v>
      </c>
      <c r="D57" t="s">
        <v>65</v>
      </c>
    </row>
    <row r="58" spans="1:5" x14ac:dyDescent="0.25">
      <c r="A58" s="19" t="s">
        <v>66</v>
      </c>
      <c r="B58" t="s">
        <v>67</v>
      </c>
      <c r="C58" t="s">
        <v>68</v>
      </c>
      <c r="D58" t="s">
        <v>69</v>
      </c>
    </row>
    <row r="59" spans="1:5" ht="30" x14ac:dyDescent="0.25">
      <c r="A59" s="58" t="s">
        <v>70</v>
      </c>
      <c r="B59" s="59"/>
      <c r="C59" s="59"/>
      <c r="D59" s="60"/>
      <c r="E59" s="19"/>
    </row>
    <row r="60" spans="1:5" x14ac:dyDescent="0.25">
      <c r="A60" s="42"/>
      <c r="B60" s="39"/>
      <c r="C60" s="39"/>
      <c r="D60" s="39"/>
    </row>
    <row r="61" spans="1:5" ht="45" x14ac:dyDescent="0.25">
      <c r="A61" s="19" t="s">
        <v>71</v>
      </c>
    </row>
    <row r="63" spans="1:5" x14ac:dyDescent="0.25">
      <c r="A63" s="52" t="s">
        <v>72</v>
      </c>
    </row>
    <row r="65" spans="1:5" x14ac:dyDescent="0.25">
      <c r="A65" t="s">
        <v>73</v>
      </c>
      <c r="B65" t="s">
        <v>74</v>
      </c>
    </row>
    <row r="66" spans="1:5" x14ac:dyDescent="0.25">
      <c r="B66" t="s">
        <v>75</v>
      </c>
    </row>
    <row r="68" spans="1:5" x14ac:dyDescent="0.25">
      <c r="A68" t="s">
        <v>76</v>
      </c>
      <c r="B68" t="s">
        <v>77</v>
      </c>
    </row>
    <row r="69" spans="1:5" x14ac:dyDescent="0.25">
      <c r="B69" t="s">
        <v>78</v>
      </c>
    </row>
    <row r="71" spans="1:5" x14ac:dyDescent="0.25">
      <c r="A71" s="53" t="s">
        <v>41</v>
      </c>
      <c r="B71" s="53" t="s">
        <v>42</v>
      </c>
      <c r="C71" s="53" t="s">
        <v>79</v>
      </c>
      <c r="D71" s="53" t="s">
        <v>80</v>
      </c>
      <c r="E71" s="53" t="s">
        <v>81</v>
      </c>
    </row>
    <row r="72" spans="1:5" x14ac:dyDescent="0.25">
      <c r="A72" t="s">
        <v>82</v>
      </c>
      <c r="B72" s="12">
        <v>0.98</v>
      </c>
      <c r="C72">
        <v>5</v>
      </c>
      <c r="D72" t="s">
        <v>83</v>
      </c>
      <c r="E72" t="s">
        <v>84</v>
      </c>
    </row>
    <row r="73" spans="1:5" x14ac:dyDescent="0.25">
      <c r="A73" t="s">
        <v>46</v>
      </c>
      <c r="B73" s="12">
        <v>0.85</v>
      </c>
      <c r="C73">
        <v>5</v>
      </c>
      <c r="D73" t="s">
        <v>83</v>
      </c>
      <c r="E73" t="s">
        <v>85</v>
      </c>
    </row>
    <row r="74" spans="1:5" x14ac:dyDescent="0.25">
      <c r="A74" t="s">
        <v>86</v>
      </c>
      <c r="B74" s="12">
        <v>0.75</v>
      </c>
      <c r="C74">
        <v>5</v>
      </c>
      <c r="D74" t="s">
        <v>83</v>
      </c>
      <c r="E74" t="s">
        <v>87</v>
      </c>
    </row>
    <row r="76" spans="1:5" x14ac:dyDescent="0.25">
      <c r="A76" t="s">
        <v>88</v>
      </c>
    </row>
    <row r="77" spans="1:5" x14ac:dyDescent="0.25">
      <c r="A77" t="s">
        <v>48</v>
      </c>
      <c r="B77" t="s">
        <v>89</v>
      </c>
      <c r="C77" t="s">
        <v>50</v>
      </c>
    </row>
    <row r="78" spans="1:5" x14ac:dyDescent="0.25">
      <c r="B78" t="s">
        <v>90</v>
      </c>
      <c r="D78">
        <v>1.4</v>
      </c>
    </row>
    <row r="80" spans="1:5" x14ac:dyDescent="0.25">
      <c r="A80" s="54" t="s">
        <v>91</v>
      </c>
    </row>
  </sheetData>
  <sheetProtection algorithmName="SHA-512" hashValue="z34an0dPySC6K30mvynW699XscrQxnRhzzq/H9VXxvgi2id0uvi2bvvblaaD8TXEMpahbT0uyqX0TOw65LCrBQ==" saltValue="ODZwAwc4QIZF+x1xORpLp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74"/>
  <sheetViews>
    <sheetView showGridLines="0" workbookViewId="0">
      <selection activeCell="G19" sqref="G19"/>
    </sheetView>
  </sheetViews>
  <sheetFormatPr defaultRowHeight="15" x14ac:dyDescent="0.25"/>
  <cols>
    <col min="1" max="1" width="27.140625" customWidth="1"/>
    <col min="2" max="2" width="20.140625" customWidth="1"/>
    <col min="3" max="3" width="41.7109375" bestFit="1" customWidth="1"/>
    <col min="4" max="4" width="26.28515625" customWidth="1"/>
    <col min="5" max="5" width="36.140625" customWidth="1"/>
    <col min="6" max="8" width="14" customWidth="1"/>
    <col min="9" max="9" width="18" customWidth="1"/>
  </cols>
  <sheetData>
    <row r="1" spans="1:12" ht="18.75" x14ac:dyDescent="0.3">
      <c r="A1" s="1" t="s">
        <v>92</v>
      </c>
      <c r="B1" s="1"/>
      <c r="C1" s="1"/>
      <c r="D1" s="1"/>
      <c r="E1" s="1"/>
      <c r="F1" s="1"/>
      <c r="G1" s="1"/>
      <c r="H1" s="1"/>
      <c r="I1" s="1"/>
    </row>
    <row r="3" spans="1:12" ht="30" x14ac:dyDescent="0.25">
      <c r="A3" s="2" t="s">
        <v>93</v>
      </c>
      <c r="B3" s="2" t="s">
        <v>42</v>
      </c>
      <c r="C3" s="2" t="s">
        <v>94</v>
      </c>
      <c r="E3" s="3" t="s">
        <v>95</v>
      </c>
      <c r="F3" s="3" t="s">
        <v>96</v>
      </c>
      <c r="G3" s="3" t="s">
        <v>97</v>
      </c>
      <c r="H3" s="3" t="s">
        <v>98</v>
      </c>
      <c r="I3" s="3" t="s">
        <v>99</v>
      </c>
    </row>
    <row r="4" spans="1:12" x14ac:dyDescent="0.25">
      <c r="A4" s="4" t="s">
        <v>82</v>
      </c>
      <c r="B4" s="5">
        <v>0.95</v>
      </c>
      <c r="C4" s="5">
        <v>0.03</v>
      </c>
      <c r="E4" s="6" t="s">
        <v>100</v>
      </c>
      <c r="F4" s="6">
        <v>30</v>
      </c>
      <c r="G4" s="6">
        <v>30</v>
      </c>
      <c r="H4" s="6">
        <v>30</v>
      </c>
      <c r="I4" s="6">
        <v>10</v>
      </c>
    </row>
    <row r="5" spans="1:12" x14ac:dyDescent="0.25">
      <c r="A5" s="4" t="s">
        <v>46</v>
      </c>
      <c r="B5" s="5">
        <v>0.85</v>
      </c>
      <c r="C5" s="5">
        <v>0.05</v>
      </c>
      <c r="E5" s="6" t="s">
        <v>101</v>
      </c>
      <c r="F5" s="6">
        <v>30</v>
      </c>
      <c r="G5" s="6">
        <v>0</v>
      </c>
      <c r="H5" s="6">
        <v>50</v>
      </c>
      <c r="I5" s="6">
        <v>20</v>
      </c>
    </row>
    <row r="6" spans="1:12" x14ac:dyDescent="0.25">
      <c r="A6" s="4" t="s">
        <v>86</v>
      </c>
      <c r="B6" s="5">
        <v>0.75</v>
      </c>
      <c r="C6" s="5">
        <v>0.05</v>
      </c>
    </row>
    <row r="9" spans="1:12" x14ac:dyDescent="0.25">
      <c r="A9" s="43" t="s">
        <v>102</v>
      </c>
      <c r="B9" s="22"/>
      <c r="C9" s="24"/>
    </row>
    <row r="10" spans="1:12" x14ac:dyDescent="0.25">
      <c r="A10" s="44" t="s">
        <v>103</v>
      </c>
      <c r="B10" s="44" t="s">
        <v>104</v>
      </c>
      <c r="C10" s="44" t="s">
        <v>105</v>
      </c>
      <c r="E10" s="57" t="s">
        <v>106</v>
      </c>
      <c r="G10" s="100" t="s">
        <v>107</v>
      </c>
      <c r="H10" s="100"/>
    </row>
    <row r="11" spans="1:12" x14ac:dyDescent="0.25">
      <c r="A11" s="23" t="s">
        <v>108</v>
      </c>
      <c r="B11" s="45">
        <v>1</v>
      </c>
      <c r="C11" s="23" t="s">
        <v>109</v>
      </c>
      <c r="E11" t="s">
        <v>110</v>
      </c>
      <c r="F11" s="65">
        <v>0.9</v>
      </c>
      <c r="G11" s="64" t="s">
        <v>111</v>
      </c>
      <c r="H11" s="64"/>
      <c r="I11" s="64"/>
      <c r="J11" s="64"/>
      <c r="K11" s="64"/>
      <c r="L11" s="64"/>
    </row>
    <row r="12" spans="1:12" x14ac:dyDescent="0.25">
      <c r="A12" s="23" t="s">
        <v>112</v>
      </c>
      <c r="B12" s="45">
        <v>1.02</v>
      </c>
      <c r="C12" s="23" t="s">
        <v>113</v>
      </c>
      <c r="E12" t="s">
        <v>114</v>
      </c>
      <c r="F12" s="65">
        <v>5</v>
      </c>
      <c r="G12" s="64" t="s">
        <v>115</v>
      </c>
      <c r="H12" s="64"/>
      <c r="I12" s="64"/>
      <c r="J12" s="64"/>
      <c r="K12" s="64"/>
      <c r="L12" s="64"/>
    </row>
    <row r="13" spans="1:12" x14ac:dyDescent="0.25">
      <c r="E13" t="s">
        <v>116</v>
      </c>
      <c r="F13" s="65">
        <v>3</v>
      </c>
      <c r="G13" s="64" t="s">
        <v>117</v>
      </c>
      <c r="H13" s="64"/>
      <c r="I13" s="64"/>
      <c r="J13" s="64"/>
      <c r="K13" s="64"/>
      <c r="L13" s="64"/>
    </row>
    <row r="14" spans="1:12" x14ac:dyDescent="0.25">
      <c r="E14" t="s">
        <v>118</v>
      </c>
      <c r="F14" s="65">
        <v>1</v>
      </c>
      <c r="G14" s="64" t="s">
        <v>119</v>
      </c>
      <c r="H14" s="64"/>
      <c r="I14" s="64"/>
      <c r="J14" s="64"/>
      <c r="K14" s="64"/>
      <c r="L14" s="64"/>
    </row>
    <row r="15" spans="1:12" ht="15.75" x14ac:dyDescent="0.25">
      <c r="A15" s="46" t="s">
        <v>120</v>
      </c>
    </row>
    <row r="16" spans="1:12" x14ac:dyDescent="0.25">
      <c r="A16" s="47" t="s">
        <v>121</v>
      </c>
      <c r="B16" s="47" t="s">
        <v>53</v>
      </c>
      <c r="C16" s="47" t="s">
        <v>122</v>
      </c>
      <c r="D16" s="47" t="s">
        <v>123</v>
      </c>
      <c r="E16" s="47" t="s">
        <v>124</v>
      </c>
    </row>
    <row r="17" spans="1:5" x14ac:dyDescent="0.25">
      <c r="A17" s="48">
        <v>0.88</v>
      </c>
      <c r="B17" s="49" t="str">
        <f>$F$13&amp;" bonus"</f>
        <v>3 bonus</v>
      </c>
      <c r="C17" s="50" t="s">
        <v>125</v>
      </c>
      <c r="D17" s="51">
        <f>Config!$H$4+$F$13</f>
        <v>33</v>
      </c>
      <c r="E17" s="51">
        <f>Config!$H$5+$F$13</f>
        <v>53</v>
      </c>
    </row>
    <row r="18" spans="1:5" x14ac:dyDescent="0.25">
      <c r="A18" s="48">
        <v>0.9</v>
      </c>
      <c r="B18" s="49" t="str">
        <f>$F$12&amp;" bonus"</f>
        <v>5 bonus</v>
      </c>
      <c r="C18" s="50" t="s">
        <v>126</v>
      </c>
      <c r="D18" s="51">
        <f>Config!$H$4+$F$12</f>
        <v>35</v>
      </c>
      <c r="E18" s="51">
        <f>Config!$H$5+$F$12</f>
        <v>55</v>
      </c>
    </row>
    <row r="19" spans="1:5" x14ac:dyDescent="0.25">
      <c r="A19" s="48">
        <v>0.95</v>
      </c>
      <c r="B19" s="49" t="str">
        <f>$F$12&amp;" bonus"</f>
        <v>5 bonus</v>
      </c>
      <c r="C19" s="50" t="s">
        <v>126</v>
      </c>
      <c r="D19" s="51">
        <f>Config!$H$4+$F$12</f>
        <v>35</v>
      </c>
      <c r="E19" s="51">
        <f>Config!$H$5+$F$12</f>
        <v>55</v>
      </c>
    </row>
    <row r="20" spans="1:5" x14ac:dyDescent="0.25">
      <c r="A20" s="48">
        <v>0.96</v>
      </c>
      <c r="B20" s="49" t="s">
        <v>127</v>
      </c>
      <c r="C20" s="50">
        <v>1</v>
      </c>
      <c r="D20" s="51">
        <f>Config!$H$4</f>
        <v>30</v>
      </c>
      <c r="E20" s="51">
        <f>Config!$H$5</f>
        <v>50</v>
      </c>
    </row>
    <row r="21" spans="1:5" x14ac:dyDescent="0.25">
      <c r="A21" s="48">
        <v>1</v>
      </c>
      <c r="B21" s="49" t="s">
        <v>127</v>
      </c>
      <c r="C21" s="50">
        <v>1</v>
      </c>
      <c r="D21" s="51">
        <f>Config!$H$4</f>
        <v>30</v>
      </c>
      <c r="E21" s="51">
        <f>Config!$H$5</f>
        <v>50</v>
      </c>
    </row>
    <row r="22" spans="1:5" x14ac:dyDescent="0.25">
      <c r="A22" s="48">
        <v>1.01</v>
      </c>
      <c r="B22" s="49" t="s">
        <v>128</v>
      </c>
      <c r="C22" s="63" t="str">
        <f>TEXT($F$11,"0%")</f>
        <v>90%</v>
      </c>
      <c r="D22" s="51">
        <f>Config!$H$4*$F$11</f>
        <v>27</v>
      </c>
      <c r="E22" s="51">
        <f>Config!$H$5*$F$11</f>
        <v>45</v>
      </c>
    </row>
    <row r="23" spans="1:5" x14ac:dyDescent="0.25">
      <c r="A23" s="48">
        <v>1.02</v>
      </c>
      <c r="B23" s="49" t="s">
        <v>61</v>
      </c>
      <c r="C23" s="50">
        <v>0</v>
      </c>
      <c r="D23" s="51">
        <v>0</v>
      </c>
      <c r="E23" s="51">
        <v>0</v>
      </c>
    </row>
    <row r="24" spans="1:5" x14ac:dyDescent="0.25">
      <c r="A24" s="48" t="s">
        <v>129</v>
      </c>
      <c r="B24" s="49" t="s">
        <v>61</v>
      </c>
      <c r="C24" s="50">
        <v>0</v>
      </c>
      <c r="D24" s="51">
        <v>0</v>
      </c>
      <c r="E24" s="51">
        <v>0</v>
      </c>
    </row>
    <row r="26" spans="1:5" x14ac:dyDescent="0.25">
      <c r="A26" s="52" t="s">
        <v>130</v>
      </c>
    </row>
    <row r="27" spans="1:5" x14ac:dyDescent="0.25">
      <c r="A27" s="53" t="s">
        <v>41</v>
      </c>
      <c r="B27" s="53" t="s">
        <v>42</v>
      </c>
      <c r="C27" s="53" t="s">
        <v>79</v>
      </c>
      <c r="D27" s="53" t="s">
        <v>105</v>
      </c>
    </row>
    <row r="28" spans="1:5" x14ac:dyDescent="0.25">
      <c r="A28" t="s">
        <v>82</v>
      </c>
      <c r="B28" s="12">
        <f>B4</f>
        <v>0.95</v>
      </c>
      <c r="C28">
        <v>5</v>
      </c>
      <c r="D28" t="s">
        <v>131</v>
      </c>
    </row>
    <row r="29" spans="1:5" x14ac:dyDescent="0.25">
      <c r="A29" t="s">
        <v>46</v>
      </c>
      <c r="B29" s="12">
        <f>B5</f>
        <v>0.85</v>
      </c>
      <c r="C29">
        <v>5</v>
      </c>
      <c r="D29" t="s">
        <v>132</v>
      </c>
    </row>
    <row r="30" spans="1:5" x14ac:dyDescent="0.25">
      <c r="A30" t="s">
        <v>86</v>
      </c>
      <c r="B30" s="12">
        <f>B6</f>
        <v>0.75</v>
      </c>
      <c r="C30">
        <v>5</v>
      </c>
      <c r="D30" t="s">
        <v>133</v>
      </c>
    </row>
    <row r="32" spans="1:5" x14ac:dyDescent="0.25">
      <c r="A32" s="52" t="s">
        <v>76</v>
      </c>
    </row>
    <row r="33" spans="1:4" x14ac:dyDescent="0.25">
      <c r="A33" t="s">
        <v>134</v>
      </c>
      <c r="B33" t="s">
        <v>135</v>
      </c>
      <c r="C33" t="s">
        <v>136</v>
      </c>
    </row>
    <row r="35" spans="1:4" x14ac:dyDescent="0.25">
      <c r="A35" s="52" t="s">
        <v>137</v>
      </c>
    </row>
    <row r="36" spans="1:4" x14ac:dyDescent="0.25">
      <c r="A36" s="53" t="s">
        <v>138</v>
      </c>
      <c r="B36" s="53" t="s">
        <v>139</v>
      </c>
      <c r="C36" s="53" t="s">
        <v>140</v>
      </c>
      <c r="D36" s="53" t="s">
        <v>141</v>
      </c>
    </row>
    <row r="37" spans="1:4" x14ac:dyDescent="0.25">
      <c r="A37" s="12">
        <v>0.75</v>
      </c>
      <c r="B37" s="12">
        <v>0</v>
      </c>
      <c r="C37" s="12">
        <v>0</v>
      </c>
      <c r="D37">
        <v>0</v>
      </c>
    </row>
    <row r="38" spans="1:4" x14ac:dyDescent="0.25">
      <c r="A38" s="12">
        <v>0.8</v>
      </c>
      <c r="B38" s="12">
        <v>0.05</v>
      </c>
      <c r="C38" s="12">
        <v>0.2</v>
      </c>
      <c r="D38">
        <v>1</v>
      </c>
    </row>
    <row r="39" spans="1:4" x14ac:dyDescent="0.25">
      <c r="A39" s="12">
        <v>0.85</v>
      </c>
      <c r="B39" s="12">
        <v>0.1</v>
      </c>
      <c r="C39" s="12">
        <v>0.4</v>
      </c>
      <c r="D39">
        <v>2</v>
      </c>
    </row>
    <row r="40" spans="1:4" x14ac:dyDescent="0.25">
      <c r="A40" s="12">
        <v>0.9</v>
      </c>
      <c r="B40" s="12">
        <v>0.15</v>
      </c>
      <c r="C40" s="12">
        <v>0.6</v>
      </c>
      <c r="D40">
        <v>3</v>
      </c>
    </row>
    <row r="41" spans="1:4" x14ac:dyDescent="0.25">
      <c r="A41" s="12">
        <v>0.95</v>
      </c>
      <c r="B41" s="12">
        <v>0.2</v>
      </c>
      <c r="C41" s="12">
        <v>0.8</v>
      </c>
      <c r="D41">
        <v>4</v>
      </c>
    </row>
    <row r="42" spans="1:4" x14ac:dyDescent="0.25">
      <c r="A42" s="12">
        <v>1</v>
      </c>
      <c r="B42" s="12">
        <v>0.25</v>
      </c>
      <c r="C42" s="12">
        <v>1</v>
      </c>
      <c r="D42">
        <v>5</v>
      </c>
    </row>
    <row r="45" spans="1:4" ht="18.75" x14ac:dyDescent="0.3">
      <c r="A45" s="55"/>
    </row>
    <row r="47" spans="1:4" x14ac:dyDescent="0.25">
      <c r="A47" s="56"/>
    </row>
    <row r="54" spans="1:1" x14ac:dyDescent="0.25">
      <c r="A54" s="56"/>
    </row>
    <row r="64" spans="1:1" x14ac:dyDescent="0.25">
      <c r="A64" s="56"/>
    </row>
    <row r="68" spans="1:3" x14ac:dyDescent="0.25">
      <c r="C68" s="12"/>
    </row>
    <row r="69" spans="1:3" x14ac:dyDescent="0.25">
      <c r="C69" s="12"/>
    </row>
    <row r="70" spans="1:3" x14ac:dyDescent="0.25">
      <c r="C70" s="12"/>
    </row>
    <row r="74" spans="1:3" x14ac:dyDescent="0.25">
      <c r="A74" s="56"/>
    </row>
  </sheetData>
  <sheetProtection algorithmName="SHA-512" hashValue="E9+VbOkS62xGONpciX+gxWGqFG52jMr0fsC7mPHNgJoI4MiT5YjRGGUf0rFNccXbifHIZEmJtySYhLn1nweGKA==" saltValue="AjwR0f9uOMJfl4cEhpRzDg==" spinCount="100000" sheet="1" objects="1" scenarios="1"/>
  <mergeCells count="1">
    <mergeCell ref="G10:H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02"/>
  <sheetViews>
    <sheetView showGridLines="0" workbookViewId="0">
      <pane ySplit="2" topLeftCell="A3" activePane="bottomLeft" state="frozen"/>
      <selection pane="bottomLeft" activeCell="D45" sqref="D45"/>
    </sheetView>
  </sheetViews>
  <sheetFormatPr defaultRowHeight="15" outlineLevelRow="1" x14ac:dyDescent="0.25"/>
  <cols>
    <col min="1" max="1" width="13" customWidth="1"/>
    <col min="2" max="2" width="18.7109375" customWidth="1"/>
    <col min="3" max="3" width="17.7109375" customWidth="1"/>
    <col min="4" max="5" width="10" customWidth="1"/>
    <col min="6" max="6" width="9" customWidth="1"/>
    <col min="7" max="8" width="15" customWidth="1"/>
    <col min="9" max="10" width="9" customWidth="1"/>
    <col min="11" max="11" width="15" customWidth="1"/>
    <col min="12" max="12" width="9" customWidth="1"/>
    <col min="13" max="13" width="12" customWidth="1"/>
    <col min="14" max="14" width="11" customWidth="1"/>
    <col min="15" max="15" width="9" customWidth="1"/>
    <col min="16" max="16" width="9.140625" bestFit="1" customWidth="1"/>
    <col min="17" max="17" width="7" customWidth="1"/>
  </cols>
  <sheetData>
    <row r="1" spans="1:18" ht="15.75" x14ac:dyDescent="0.25">
      <c r="A1" s="7" t="s">
        <v>142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1:18" ht="36" x14ac:dyDescent="0.25">
      <c r="A2" s="8" t="s">
        <v>143</v>
      </c>
      <c r="B2" s="8" t="s">
        <v>144</v>
      </c>
      <c r="C2" s="8" t="s">
        <v>145</v>
      </c>
      <c r="D2" s="8" t="s">
        <v>146</v>
      </c>
      <c r="E2" s="8" t="s">
        <v>147</v>
      </c>
      <c r="F2" s="9" t="s">
        <v>148</v>
      </c>
      <c r="G2" s="8" t="s">
        <v>149</v>
      </c>
      <c r="H2" s="9" t="s">
        <v>150</v>
      </c>
      <c r="I2" s="9" t="s">
        <v>151</v>
      </c>
      <c r="J2" s="9" t="s">
        <v>152</v>
      </c>
      <c r="K2" s="8" t="s">
        <v>153</v>
      </c>
      <c r="L2" s="9" t="s">
        <v>154</v>
      </c>
      <c r="M2" s="9" t="s">
        <v>155</v>
      </c>
      <c r="N2" s="8"/>
      <c r="O2" s="9" t="s">
        <v>156</v>
      </c>
      <c r="P2" s="9" t="s">
        <v>157</v>
      </c>
      <c r="Q2" s="9" t="s">
        <v>158</v>
      </c>
      <c r="R2" s="9" t="s">
        <v>159</v>
      </c>
    </row>
    <row r="3" spans="1:18" outlineLevel="1" x14ac:dyDescent="0.25">
      <c r="A3" s="10">
        <v>46206</v>
      </c>
      <c r="B3" t="s">
        <v>160</v>
      </c>
      <c r="C3" t="s">
        <v>100</v>
      </c>
      <c r="D3" t="s">
        <v>82</v>
      </c>
      <c r="E3" t="s">
        <v>161</v>
      </c>
      <c r="F3" s="11">
        <f>IF(E3="Pass",IFERROR(INDEX(Config!$F$4:$F$5,MATCH(C3,Config!$E$4:$E$5,0)),0),0)</f>
        <v>0</v>
      </c>
      <c r="G3" s="12">
        <v>0.87</v>
      </c>
      <c r="H3" s="12">
        <f>IF(C3="Forecasting",IFERROR(INDEX(Config!$B$4:$B$6,MATCH(D3,Config!$A$4:$A$6,0)),""),"")</f>
        <v>0.95</v>
      </c>
      <c r="I3" s="13">
        <f>IF(C3&lt;&gt;"Forecasting",0,IF(G3="",0,IF(ROUND(G3,4)&gt;=ROUND(H3,4),INDEX(Config!$G$4:$G$5,MATCH(C3,Config!$E$4:$E$5,0)),IF(ROUND(G3,4)&gt;=ROUND(H3-INDEX(Config!$C$4:$C$6,MATCH(D3,Config!$A$4:$A$6,0)),4),MAX(1,((G3-(H3-INDEX(Config!$C$4:$C$6,MATCH(D3,Config!$A$4:$A$6,0))))/INDEX(Config!$C$4:$C$6,MATCH(D3,Config!$A$4:$A$6,0)))*INDEX(Config!$G$4:$G$5,MATCH(C3,Config!$E$4:$E$5,0))),0))))</f>
        <v>0</v>
      </c>
      <c r="J3" s="13">
        <f t="shared" ref="J3:J66" si="0">IF(AND(C3="Forecasting",G3&lt;&gt;"",G3&gt;H3),MIN(5,(G3-H3)/(1-H3)*5),0)</f>
        <v>0</v>
      </c>
      <c r="K3" s="12">
        <v>0.96</v>
      </c>
      <c r="L3" s="13">
        <f>IF(K3="",0,IF(K3&gt;=Config!$B$12,0,IF(K3&gt;Config!$F$14,INDEX(Config!$H$4:$H$5,MATCH(C3,Config!$E$4:$E$5,0))*Config!$F$11,INDEX(Config!$H$4:$H$5,MATCH(C3,Config!$E$4:$E$5,0)))))</f>
        <v>30</v>
      </c>
      <c r="M3" s="13">
        <f>IF(K3="",0,IF(K3&gt;=Config!$B$12,0,IF(K3&gt;=0.96,0,IF(K3&gt;=0.9,Config!$F$12,Config!$F$13))))</f>
        <v>0</v>
      </c>
      <c r="N3" t="s">
        <v>161</v>
      </c>
      <c r="O3" s="11">
        <f>IF(N3="Pass",IFERROR(INDEX(Config!$I$4:$I$5,MATCH(C3,Config!$E$4:$E$5,0)),0),0)</f>
        <v>0</v>
      </c>
      <c r="P3" s="13">
        <f t="shared" ref="P3:P66" si="1">F3+I3+J3+L3+M3+O3</f>
        <v>30</v>
      </c>
      <c r="Q3" s="11">
        <f t="shared" ref="Q3:Q66" si="2">IF(A3="","",MONTH(A3))</f>
        <v>7</v>
      </c>
      <c r="R3" s="11">
        <f t="shared" ref="R3:R66" si="3">IF(A3="","",YEAR(A3))</f>
        <v>2026</v>
      </c>
    </row>
    <row r="4" spans="1:18" outlineLevel="1" x14ac:dyDescent="0.25">
      <c r="A4" s="10">
        <v>46206</v>
      </c>
      <c r="B4" t="s">
        <v>162</v>
      </c>
      <c r="C4" t="s">
        <v>100</v>
      </c>
      <c r="D4" t="s">
        <v>86</v>
      </c>
      <c r="E4" t="s">
        <v>163</v>
      </c>
      <c r="F4" s="11">
        <f>IF(E4="Pass",IFERROR(INDEX(Config!$F$4:$F$5,MATCH(C4,Config!$E$4:$E$5,0)),0),0)</f>
        <v>30</v>
      </c>
      <c r="G4" s="12">
        <v>0.84</v>
      </c>
      <c r="H4" s="12">
        <f>IF(C4="Forecasting",IFERROR(INDEX(Config!$B$4:$B$6,MATCH(D4,Config!$A$4:$A$6,0)),""),"")</f>
        <v>0.75</v>
      </c>
      <c r="I4" s="13">
        <f>IF(C4&lt;&gt;"Forecasting",0,IF(G4="",0,IF(ROUND(G4,4)&gt;=ROUND(H4,4),INDEX(Config!$G$4:$G$5,MATCH(C4,Config!$E$4:$E$5,0)),IF(ROUND(G4,4)&gt;=ROUND(H4-INDEX(Config!$C$4:$C$6,MATCH(D4,Config!$A$4:$A$6,0)),4),MAX(1,((G4-(H4-INDEX(Config!$C$4:$C$6,MATCH(D4,Config!$A$4:$A$6,0))))/INDEX(Config!$C$4:$C$6,MATCH(D4,Config!$A$4:$A$6,0)))*INDEX(Config!$G$4:$G$5,MATCH(C4,Config!$E$4:$E$5,0))),0))))</f>
        <v>30</v>
      </c>
      <c r="J4" s="13">
        <f t="shared" si="0"/>
        <v>1.7999999999999994</v>
      </c>
      <c r="K4" s="12">
        <v>0.77</v>
      </c>
      <c r="L4" s="13">
        <f>IF(K4="",0,IF(K4&gt;=Config!$B$12,0,IF(K4&gt;Config!$F$14,INDEX(Config!$H$4:$H$5,MATCH(C4,Config!$E$4:$E$5,0))*Config!$F$11,INDEX(Config!$H$4:$H$5,MATCH(C4,Config!$E$4:$E$5,0)))))</f>
        <v>30</v>
      </c>
      <c r="M4" s="13">
        <f>IF(K4="",0,IF(K4&gt;=Config!$B$12,0,IF(K4&gt;=0.96,0,IF(K4&gt;=0.9,Config!$F$12,Config!$F$13))))</f>
        <v>3</v>
      </c>
      <c r="N4" t="s">
        <v>163</v>
      </c>
      <c r="O4" s="11">
        <f>IF(N4="Pass",IFERROR(INDEX(Config!$I$4:$I$5,MATCH(C4,Config!$E$4:$E$5,0)),0),0)</f>
        <v>10</v>
      </c>
      <c r="P4" s="13">
        <f t="shared" si="1"/>
        <v>104.8</v>
      </c>
      <c r="Q4" s="11">
        <f t="shared" si="2"/>
        <v>7</v>
      </c>
      <c r="R4" s="11">
        <f t="shared" si="3"/>
        <v>2026</v>
      </c>
    </row>
    <row r="5" spans="1:18" outlineLevel="1" x14ac:dyDescent="0.25">
      <c r="A5" s="10">
        <v>46206</v>
      </c>
      <c r="B5" t="s">
        <v>164</v>
      </c>
      <c r="C5" t="s">
        <v>100</v>
      </c>
      <c r="D5" t="s">
        <v>86</v>
      </c>
      <c r="E5" t="s">
        <v>163</v>
      </c>
      <c r="F5" s="11">
        <f>IF(E5="Pass",IFERROR(INDEX(Config!$F$4:$F$5,MATCH(C5,Config!$E$4:$E$5,0)),0),0)</f>
        <v>30</v>
      </c>
      <c r="G5" s="12">
        <v>0.9</v>
      </c>
      <c r="H5" s="12">
        <f>IF(C5="Forecasting",IFERROR(INDEX(Config!$B$4:$B$6,MATCH(D5,Config!$A$4:$A$6,0)),""),"")</f>
        <v>0.75</v>
      </c>
      <c r="I5" s="13">
        <f>IF(C5&lt;&gt;"Forecasting",0,IF(G5="",0,IF(ROUND(G5,4)&gt;=ROUND(H5,4),INDEX(Config!$G$4:$G$5,MATCH(C5,Config!$E$4:$E$5,0)),IF(ROUND(G5,4)&gt;=ROUND(H5-INDEX(Config!$C$4:$C$6,MATCH(D5,Config!$A$4:$A$6,0)),4),MAX(1,((G5-(H5-INDEX(Config!$C$4:$C$6,MATCH(D5,Config!$A$4:$A$6,0))))/INDEX(Config!$C$4:$C$6,MATCH(D5,Config!$A$4:$A$6,0)))*INDEX(Config!$G$4:$G$5,MATCH(C5,Config!$E$4:$E$5,0))),0))))</f>
        <v>30</v>
      </c>
      <c r="J5" s="13">
        <f t="shared" si="0"/>
        <v>3.0000000000000004</v>
      </c>
      <c r="K5" s="12">
        <v>0.93</v>
      </c>
      <c r="L5" s="13">
        <f>IF(K5="",0,IF(K5&gt;=Config!$B$12,0,IF(K5&gt;Config!$F$14,INDEX(Config!$H$4:$H$5,MATCH(C5,Config!$E$4:$E$5,0))*Config!$F$11,INDEX(Config!$H$4:$H$5,MATCH(C5,Config!$E$4:$E$5,0)))))</f>
        <v>30</v>
      </c>
      <c r="M5" s="13">
        <f>IF(K5="",0,IF(K5&gt;=Config!$B$12,0,IF(K5&gt;=0.96,0,IF(K5&gt;=0.9,Config!$F$12,Config!$F$13))))</f>
        <v>5</v>
      </c>
      <c r="N5" t="s">
        <v>163</v>
      </c>
      <c r="O5" s="11">
        <f>IF(N5="Pass",IFERROR(INDEX(Config!$I$4:$I$5,MATCH(C5,Config!$E$4:$E$5,0)),0),0)</f>
        <v>10</v>
      </c>
      <c r="P5" s="13">
        <f t="shared" si="1"/>
        <v>108</v>
      </c>
      <c r="Q5" s="11">
        <f t="shared" si="2"/>
        <v>7</v>
      </c>
      <c r="R5" s="11">
        <f t="shared" si="3"/>
        <v>2026</v>
      </c>
    </row>
    <row r="6" spans="1:18" outlineLevel="1" x14ac:dyDescent="0.25">
      <c r="A6" s="10">
        <v>46206</v>
      </c>
      <c r="B6" t="s">
        <v>165</v>
      </c>
      <c r="C6" t="s">
        <v>100</v>
      </c>
      <c r="D6" t="s">
        <v>86</v>
      </c>
      <c r="E6" t="s">
        <v>163</v>
      </c>
      <c r="F6" s="11">
        <f>IF(E6="Pass",IFERROR(INDEX(Config!$F$4:$F$5,MATCH(C6,Config!$E$4:$E$5,0)),0),0)</f>
        <v>30</v>
      </c>
      <c r="G6" s="12">
        <v>0.8</v>
      </c>
      <c r="H6" s="12">
        <f>IF(C6="Forecasting",IFERROR(INDEX(Config!$B$4:$B$6,MATCH(D6,Config!$A$4:$A$6,0)),""),"")</f>
        <v>0.75</v>
      </c>
      <c r="I6" s="13">
        <f>IF(C6&lt;&gt;"Forecasting",0,IF(G6="",0,IF(ROUND(G6,4)&gt;=ROUND(H6,4),INDEX(Config!$G$4:$G$5,MATCH(C6,Config!$E$4:$E$5,0)),IF(ROUND(G6,4)&gt;=ROUND(H6-INDEX(Config!$C$4:$C$6,MATCH(D6,Config!$A$4:$A$6,0)),4),MAX(1,((G6-(H6-INDEX(Config!$C$4:$C$6,MATCH(D6,Config!$A$4:$A$6,0))))/INDEX(Config!$C$4:$C$6,MATCH(D6,Config!$A$4:$A$6,0)))*INDEX(Config!$G$4:$G$5,MATCH(C6,Config!$E$4:$E$5,0))),0))))</f>
        <v>30</v>
      </c>
      <c r="J6" s="13">
        <f t="shared" si="0"/>
        <v>1.0000000000000009</v>
      </c>
      <c r="K6" s="12">
        <v>0.57999999999999996</v>
      </c>
      <c r="L6" s="13">
        <f>IF(K6="",0,IF(K6&gt;=Config!$B$12,0,IF(K6&gt;Config!$F$14,INDEX(Config!$H$4:$H$5,MATCH(C6,Config!$E$4:$E$5,0))*Config!$F$11,INDEX(Config!$H$4:$H$5,MATCH(C6,Config!$E$4:$E$5,0)))))</f>
        <v>30</v>
      </c>
      <c r="M6" s="13">
        <f>IF(K6="",0,IF(K6&gt;=Config!$B$12,0,IF(K6&gt;=0.96,0,IF(K6&gt;=0.9,Config!$F$12,Config!$F$13))))</f>
        <v>3</v>
      </c>
      <c r="N6" t="s">
        <v>163</v>
      </c>
      <c r="O6" s="11">
        <f>IF(N6="Pass",IFERROR(INDEX(Config!$I$4:$I$5,MATCH(C6,Config!$E$4:$E$5,0)),0),0)</f>
        <v>10</v>
      </c>
      <c r="P6" s="13">
        <f t="shared" si="1"/>
        <v>104</v>
      </c>
      <c r="Q6" s="11">
        <f t="shared" si="2"/>
        <v>7</v>
      </c>
      <c r="R6" s="11">
        <f t="shared" si="3"/>
        <v>2026</v>
      </c>
    </row>
    <row r="7" spans="1:18" outlineLevel="1" x14ac:dyDescent="0.25">
      <c r="A7" s="10">
        <v>46206</v>
      </c>
      <c r="B7" t="s">
        <v>166</v>
      </c>
      <c r="C7" t="s">
        <v>100</v>
      </c>
      <c r="D7" t="s">
        <v>46</v>
      </c>
      <c r="E7" t="s">
        <v>161</v>
      </c>
      <c r="F7" s="11">
        <f>IF(E7="Pass",IFERROR(INDEX(Config!$F$4:$F$5,MATCH(C7,Config!$E$4:$E$5,0)),0),0)</f>
        <v>0</v>
      </c>
      <c r="G7" s="12">
        <v>0.56000000000000005</v>
      </c>
      <c r="H7" s="12">
        <f>IF(C7="Forecasting",IFERROR(INDEX(Config!$B$4:$B$6,MATCH(D7,Config!$A$4:$A$6,0)),""),"")</f>
        <v>0.85</v>
      </c>
      <c r="I7" s="13">
        <f>IF(C7&lt;&gt;"Forecasting",0,IF(G7="",0,IF(ROUND(G7,4)&gt;=ROUND(H7,4),INDEX(Config!$G$4:$G$5,MATCH(C7,Config!$E$4:$E$5,0)),IF(ROUND(G7,4)&gt;=ROUND(H7-INDEX(Config!$C$4:$C$6,MATCH(D7,Config!$A$4:$A$6,0)),4),MAX(1,((G7-(H7-INDEX(Config!$C$4:$C$6,MATCH(D7,Config!$A$4:$A$6,0))))/INDEX(Config!$C$4:$C$6,MATCH(D7,Config!$A$4:$A$6,0)))*INDEX(Config!$G$4:$G$5,MATCH(C7,Config!$E$4:$E$5,0))),0))))</f>
        <v>0</v>
      </c>
      <c r="J7" s="13">
        <f t="shared" si="0"/>
        <v>0</v>
      </c>
      <c r="K7" s="12">
        <v>0.81</v>
      </c>
      <c r="L7" s="13">
        <f>IF(K7="",0,IF(K7&gt;=Config!$B$12,0,IF(K7&gt;Config!$F$14,INDEX(Config!$H$4:$H$5,MATCH(C7,Config!$E$4:$E$5,0))*Config!$F$11,INDEX(Config!$H$4:$H$5,MATCH(C7,Config!$E$4:$E$5,0)))))</f>
        <v>30</v>
      </c>
      <c r="M7" s="13">
        <f>IF(K7="",0,IF(K7&gt;=Config!$B$12,0,IF(K7&gt;=0.96,0,IF(K7&gt;=0.9,Config!$F$12,Config!$F$13))))</f>
        <v>3</v>
      </c>
      <c r="N7" t="s">
        <v>163</v>
      </c>
      <c r="O7" s="11">
        <f>IF(N7="Pass",IFERROR(INDEX(Config!$I$4:$I$5,MATCH(C7,Config!$E$4:$E$5,0)),0),0)</f>
        <v>10</v>
      </c>
      <c r="P7" s="13">
        <f t="shared" si="1"/>
        <v>43</v>
      </c>
      <c r="Q7" s="11">
        <f t="shared" si="2"/>
        <v>7</v>
      </c>
      <c r="R7" s="11">
        <f t="shared" si="3"/>
        <v>2026</v>
      </c>
    </row>
    <row r="8" spans="1:18" outlineLevel="1" x14ac:dyDescent="0.25">
      <c r="A8" s="10">
        <v>46206</v>
      </c>
      <c r="B8" t="s">
        <v>167</v>
      </c>
      <c r="C8" t="s">
        <v>100</v>
      </c>
      <c r="D8" t="s">
        <v>86</v>
      </c>
      <c r="E8" t="s">
        <v>163</v>
      </c>
      <c r="F8" s="11">
        <f>IF(E8="Pass",IFERROR(INDEX(Config!$F$4:$F$5,MATCH(C8,Config!$E$4:$E$5,0)),0),0)</f>
        <v>30</v>
      </c>
      <c r="G8" s="12">
        <v>0.83</v>
      </c>
      <c r="H8" s="12">
        <f>IF(C8="Forecasting",IFERROR(INDEX(Config!$B$4:$B$6,MATCH(D8,Config!$A$4:$A$6,0)),""),"")</f>
        <v>0.75</v>
      </c>
      <c r="I8" s="13">
        <f>IF(C8&lt;&gt;"Forecasting",0,IF(G8="",0,IF(ROUND(G8,4)&gt;=ROUND(H8,4),INDEX(Config!$G$4:$G$5,MATCH(C8,Config!$E$4:$E$5,0)),IF(ROUND(G8,4)&gt;=ROUND(H8-INDEX(Config!$C$4:$C$6,MATCH(D8,Config!$A$4:$A$6,0)),4),MAX(1,((G8-(H8-INDEX(Config!$C$4:$C$6,MATCH(D8,Config!$A$4:$A$6,0))))/INDEX(Config!$C$4:$C$6,MATCH(D8,Config!$A$4:$A$6,0)))*INDEX(Config!$G$4:$G$5,MATCH(C8,Config!$E$4:$E$5,0))),0))))</f>
        <v>30</v>
      </c>
      <c r="J8" s="13">
        <f t="shared" si="0"/>
        <v>1.5999999999999992</v>
      </c>
      <c r="K8" s="12">
        <v>0.81</v>
      </c>
      <c r="L8" s="13">
        <f>IF(K8="",0,IF(K8&gt;=Config!$B$12,0,IF(K8&gt;Config!$F$14,INDEX(Config!$H$4:$H$5,MATCH(C8,Config!$E$4:$E$5,0))*Config!$F$11,INDEX(Config!$H$4:$H$5,MATCH(C8,Config!$E$4:$E$5,0)))))</f>
        <v>30</v>
      </c>
      <c r="M8" s="13">
        <f>IF(K8="",0,IF(K8&gt;=Config!$B$12,0,IF(K8&gt;=0.96,0,IF(K8&gt;=0.9,Config!$F$12,Config!$F$13))))</f>
        <v>3</v>
      </c>
      <c r="N8" t="s">
        <v>161</v>
      </c>
      <c r="O8" s="11">
        <f>IF(N8="Pass",IFERROR(INDEX(Config!$I$4:$I$5,MATCH(C8,Config!$E$4:$E$5,0)),0),0)</f>
        <v>0</v>
      </c>
      <c r="P8" s="13">
        <f t="shared" si="1"/>
        <v>94.6</v>
      </c>
      <c r="Q8" s="11">
        <f t="shared" si="2"/>
        <v>7</v>
      </c>
      <c r="R8" s="11">
        <f t="shared" si="3"/>
        <v>2026</v>
      </c>
    </row>
    <row r="9" spans="1:18" outlineLevel="1" x14ac:dyDescent="0.25">
      <c r="A9" s="10">
        <v>46206</v>
      </c>
      <c r="B9" t="s">
        <v>168</v>
      </c>
      <c r="C9" t="s">
        <v>100</v>
      </c>
      <c r="D9" t="s">
        <v>86</v>
      </c>
      <c r="E9" t="s">
        <v>163</v>
      </c>
      <c r="F9" s="11">
        <f>IF(E9="Pass",IFERROR(INDEX(Config!$F$4:$F$5,MATCH(C9,Config!$E$4:$E$5,0)),0),0)</f>
        <v>30</v>
      </c>
      <c r="G9" s="12">
        <v>0.86</v>
      </c>
      <c r="H9" s="12">
        <f>IF(C9="Forecasting",IFERROR(INDEX(Config!$B$4:$B$6,MATCH(D9,Config!$A$4:$A$6,0)),""),"")</f>
        <v>0.75</v>
      </c>
      <c r="I9" s="13">
        <f>IF(C9&lt;&gt;"Forecasting",0,IF(G9="",0,IF(ROUND(G9,4)&gt;=ROUND(H9,4),INDEX(Config!$G$4:$G$5,MATCH(C9,Config!$E$4:$E$5,0)),IF(ROUND(G9,4)&gt;=ROUND(H9-INDEX(Config!$C$4:$C$6,MATCH(D9,Config!$A$4:$A$6,0)),4),MAX(1,((G9-(H9-INDEX(Config!$C$4:$C$6,MATCH(D9,Config!$A$4:$A$6,0))))/INDEX(Config!$C$4:$C$6,MATCH(D9,Config!$A$4:$A$6,0)))*INDEX(Config!$G$4:$G$5,MATCH(C9,Config!$E$4:$E$5,0))),0))))</f>
        <v>30</v>
      </c>
      <c r="J9" s="13">
        <f t="shared" si="0"/>
        <v>2.1999999999999997</v>
      </c>
      <c r="K9" s="12">
        <v>0.79</v>
      </c>
      <c r="L9" s="13">
        <f>IF(K9="",0,IF(K9&gt;=Config!$B$12,0,IF(K9&gt;Config!$F$14,INDEX(Config!$H$4:$H$5,MATCH(C9,Config!$E$4:$E$5,0))*Config!$F$11,INDEX(Config!$H$4:$H$5,MATCH(C9,Config!$E$4:$E$5,0)))))</f>
        <v>30</v>
      </c>
      <c r="M9" s="13">
        <f>IF(K9="",0,IF(K9&gt;=Config!$B$12,0,IF(K9&gt;=0.96,0,IF(K9&gt;=0.9,Config!$F$12,Config!$F$13))))</f>
        <v>3</v>
      </c>
      <c r="N9" t="s">
        <v>161</v>
      </c>
      <c r="O9" s="11">
        <f>IF(N9="Pass",IFERROR(INDEX(Config!$I$4:$I$5,MATCH(C9,Config!$E$4:$E$5,0)),0),0)</f>
        <v>0</v>
      </c>
      <c r="P9" s="13">
        <f t="shared" si="1"/>
        <v>95.2</v>
      </c>
      <c r="Q9" s="11">
        <f t="shared" si="2"/>
        <v>7</v>
      </c>
      <c r="R9" s="11">
        <f t="shared" si="3"/>
        <v>2026</v>
      </c>
    </row>
    <row r="10" spans="1:18" outlineLevel="1" x14ac:dyDescent="0.25">
      <c r="A10" s="10">
        <v>46206</v>
      </c>
      <c r="B10" t="s">
        <v>169</v>
      </c>
      <c r="C10" t="s">
        <v>100</v>
      </c>
      <c r="D10" t="s">
        <v>46</v>
      </c>
      <c r="E10" t="s">
        <v>163</v>
      </c>
      <c r="F10" s="11">
        <f>IF(E10="Pass",IFERROR(INDEX(Config!$F$4:$F$5,MATCH(C10,Config!$E$4:$E$5,0)),0),0)</f>
        <v>30</v>
      </c>
      <c r="G10" s="12">
        <v>0.96</v>
      </c>
      <c r="H10" s="12">
        <f>IF(C10="Forecasting",IFERROR(INDEX(Config!$B$4:$B$6,MATCH(D10,Config!$A$4:$A$6,0)),""),"")</f>
        <v>0.85</v>
      </c>
      <c r="I10" s="13">
        <f>IF(C10&lt;&gt;"Forecasting",0,IF(G10="",0,IF(ROUND(G10,4)&gt;=ROUND(H10,4),INDEX(Config!$G$4:$G$5,MATCH(C10,Config!$E$4:$E$5,0)),IF(ROUND(G10,4)&gt;=ROUND(H10-INDEX(Config!$C$4:$C$6,MATCH(D10,Config!$A$4:$A$6,0)),4),MAX(1,((G10-(H10-INDEX(Config!$C$4:$C$6,MATCH(D10,Config!$A$4:$A$6,0))))/INDEX(Config!$C$4:$C$6,MATCH(D10,Config!$A$4:$A$6,0)))*INDEX(Config!$G$4:$G$5,MATCH(C10,Config!$E$4:$E$5,0))),0))))</f>
        <v>30</v>
      </c>
      <c r="J10" s="13">
        <f t="shared" si="0"/>
        <v>3.6666666666666661</v>
      </c>
      <c r="K10" s="12">
        <v>0.81</v>
      </c>
      <c r="L10" s="13">
        <f>IF(K10="",0,IF(K10&gt;=Config!$B$12,0,IF(K10&gt;Config!$F$14,INDEX(Config!$H$4:$H$5,MATCH(C10,Config!$E$4:$E$5,0))*Config!$F$11,INDEX(Config!$H$4:$H$5,MATCH(C10,Config!$E$4:$E$5,0)))))</f>
        <v>30</v>
      </c>
      <c r="M10" s="13">
        <f>IF(K10="",0,IF(K10&gt;=Config!$B$12,0,IF(K10&gt;=0.96,0,IF(K10&gt;=0.9,Config!$F$12,Config!$F$13))))</f>
        <v>3</v>
      </c>
      <c r="N10" t="s">
        <v>163</v>
      </c>
      <c r="O10" s="11">
        <f>IF(N10="Pass",IFERROR(INDEX(Config!$I$4:$I$5,MATCH(C10,Config!$E$4:$E$5,0)),0),0)</f>
        <v>10</v>
      </c>
      <c r="P10" s="13">
        <f t="shared" si="1"/>
        <v>106.66666666666666</v>
      </c>
      <c r="Q10" s="11">
        <f t="shared" si="2"/>
        <v>7</v>
      </c>
      <c r="R10" s="11">
        <f t="shared" si="3"/>
        <v>2026</v>
      </c>
    </row>
    <row r="11" spans="1:18" outlineLevel="1" x14ac:dyDescent="0.25">
      <c r="A11" s="10">
        <v>46206</v>
      </c>
      <c r="B11" t="s">
        <v>170</v>
      </c>
      <c r="C11" t="s">
        <v>100</v>
      </c>
      <c r="D11" t="s">
        <v>46</v>
      </c>
      <c r="E11" t="s">
        <v>163</v>
      </c>
      <c r="F11" s="11">
        <f>IF(E11="Pass",IFERROR(INDEX(Config!$F$4:$F$5,MATCH(C11,Config!$E$4:$E$5,0)),0),0)</f>
        <v>30</v>
      </c>
      <c r="G11" s="12">
        <v>0.8</v>
      </c>
      <c r="H11" s="12">
        <f>IF(C11="Forecasting",IFERROR(INDEX(Config!$B$4:$B$6,MATCH(D11,Config!$A$4:$A$6,0)),""),"")</f>
        <v>0.85</v>
      </c>
      <c r="I11" s="13">
        <f>IF(C11&lt;&gt;"Forecasting",0,IF(G11="",0,IF(ROUND(G11,4)&gt;=ROUND(H11,4),INDEX(Config!$G$4:$G$5,MATCH(C11,Config!$E$4:$E$5,0)),IF(ROUND(G11,4)&gt;=ROUND(H11-INDEX(Config!$C$4:$C$6,MATCH(D11,Config!$A$4:$A$6,0)),4),MAX(1,((G11-(H11-INDEX(Config!$C$4:$C$6,MATCH(D11,Config!$A$4:$A$6,0))))/INDEX(Config!$C$4:$C$6,MATCH(D11,Config!$A$4:$A$6,0)))*INDEX(Config!$G$4:$G$5,MATCH(C11,Config!$E$4:$E$5,0))),0))))</f>
        <v>1</v>
      </c>
      <c r="J11" s="13">
        <f t="shared" si="0"/>
        <v>0</v>
      </c>
      <c r="K11" s="12">
        <v>1</v>
      </c>
      <c r="L11" s="13">
        <f>IF(K11="",0,IF(K11&gt;=Config!$B$12,0,IF(K11&gt;Config!$F$14,INDEX(Config!$H$4:$H$5,MATCH(C11,Config!$E$4:$E$5,0))*Config!$F$11,INDEX(Config!$H$4:$H$5,MATCH(C11,Config!$E$4:$E$5,0)))))</f>
        <v>30</v>
      </c>
      <c r="M11" s="13">
        <f>IF(K11="",0,IF(K11&gt;=Config!$B$12,0,IF(K11&gt;=0.96,0,IF(K11&gt;=0.9,Config!$F$12,Config!$F$13))))</f>
        <v>0</v>
      </c>
      <c r="N11" t="s">
        <v>161</v>
      </c>
      <c r="O11" s="11">
        <f>IF(N11="Pass",IFERROR(INDEX(Config!$I$4:$I$5,MATCH(C11,Config!$E$4:$E$5,0)),0),0)</f>
        <v>0</v>
      </c>
      <c r="P11" s="13">
        <f t="shared" si="1"/>
        <v>61</v>
      </c>
      <c r="Q11" s="11">
        <f t="shared" si="2"/>
        <v>7</v>
      </c>
      <c r="R11" s="11">
        <f t="shared" si="3"/>
        <v>2026</v>
      </c>
    </row>
    <row r="12" spans="1:18" outlineLevel="1" x14ac:dyDescent="0.25">
      <c r="A12" s="10">
        <v>46206</v>
      </c>
      <c r="B12" t="s">
        <v>171</v>
      </c>
      <c r="C12" t="s">
        <v>100</v>
      </c>
      <c r="D12" t="s">
        <v>86</v>
      </c>
      <c r="E12" t="s">
        <v>163</v>
      </c>
      <c r="F12" s="11">
        <f>IF(E12="Pass",IFERROR(INDEX(Config!$F$4:$F$5,MATCH(C12,Config!$E$4:$E$5,0)),0),0)</f>
        <v>30</v>
      </c>
      <c r="G12" s="12">
        <v>0.75</v>
      </c>
      <c r="H12" s="12">
        <f>IF(C12="Forecasting",IFERROR(INDEX(Config!$B$4:$B$6,MATCH(D12,Config!$A$4:$A$6,0)),""),"")</f>
        <v>0.75</v>
      </c>
      <c r="I12" s="13">
        <f>IF(C12&lt;&gt;"Forecasting",0,IF(G12="",0,IF(ROUND(G12,4)&gt;=ROUND(H12,4),INDEX(Config!$G$4:$G$5,MATCH(C12,Config!$E$4:$E$5,0)),IF(ROUND(G12,4)&gt;=ROUND(H12-INDEX(Config!$C$4:$C$6,MATCH(D12,Config!$A$4:$A$6,0)),4),MAX(1,((G12-(H12-INDEX(Config!$C$4:$C$6,MATCH(D12,Config!$A$4:$A$6,0))))/INDEX(Config!$C$4:$C$6,MATCH(D12,Config!$A$4:$A$6,0)))*INDEX(Config!$G$4:$G$5,MATCH(C12,Config!$E$4:$E$5,0))),0))))</f>
        <v>30</v>
      </c>
      <c r="J12" s="13">
        <f t="shared" si="0"/>
        <v>0</v>
      </c>
      <c r="K12" s="12">
        <v>0.84</v>
      </c>
      <c r="L12" s="13">
        <f>IF(K12="",0,IF(K12&gt;=Config!$B$12,0,IF(K12&gt;Config!$F$14,INDEX(Config!$H$4:$H$5,MATCH(C12,Config!$E$4:$E$5,0))*Config!$F$11,INDEX(Config!$H$4:$H$5,MATCH(C12,Config!$E$4:$E$5,0)))))</f>
        <v>30</v>
      </c>
      <c r="M12" s="13">
        <f>IF(K12="",0,IF(K12&gt;=Config!$B$12,0,IF(K12&gt;=0.96,0,IF(K12&gt;=0.9,Config!$F$12,Config!$F$13))))</f>
        <v>3</v>
      </c>
      <c r="N12" t="s">
        <v>163</v>
      </c>
      <c r="O12" s="11">
        <f>IF(N12="Pass",IFERROR(INDEX(Config!$I$4:$I$5,MATCH(C12,Config!$E$4:$E$5,0)),0),0)</f>
        <v>10</v>
      </c>
      <c r="P12" s="13">
        <f t="shared" si="1"/>
        <v>103</v>
      </c>
      <c r="Q12" s="11">
        <f t="shared" si="2"/>
        <v>7</v>
      </c>
      <c r="R12" s="11">
        <f t="shared" si="3"/>
        <v>2026</v>
      </c>
    </row>
    <row r="13" spans="1:18" outlineLevel="1" x14ac:dyDescent="0.25">
      <c r="A13" s="10">
        <v>46206</v>
      </c>
      <c r="B13" t="s">
        <v>172</v>
      </c>
      <c r="C13" t="s">
        <v>100</v>
      </c>
      <c r="D13" t="s">
        <v>86</v>
      </c>
      <c r="E13" t="s">
        <v>163</v>
      </c>
      <c r="F13" s="11">
        <f>IF(E13="Pass",IFERROR(INDEX(Config!$F$4:$F$5,MATCH(C13,Config!$E$4:$E$5,0)),0),0)</f>
        <v>30</v>
      </c>
      <c r="G13" s="12">
        <v>0.78</v>
      </c>
      <c r="H13" s="12">
        <f>IF(C13="Forecasting",IFERROR(INDEX(Config!$B$4:$B$6,MATCH(D13,Config!$A$4:$A$6,0)),""),"")</f>
        <v>0.75</v>
      </c>
      <c r="I13" s="13">
        <f>IF(C13&lt;&gt;"Forecasting",0,IF(G13="",0,IF(ROUND(G13,4)&gt;=ROUND(H13,4),INDEX(Config!$G$4:$G$5,MATCH(C13,Config!$E$4:$E$5,0)),IF(ROUND(G13,4)&gt;=ROUND(H13-INDEX(Config!$C$4:$C$6,MATCH(D13,Config!$A$4:$A$6,0)),4),MAX(1,((G13-(H13-INDEX(Config!$C$4:$C$6,MATCH(D13,Config!$A$4:$A$6,0))))/INDEX(Config!$C$4:$C$6,MATCH(D13,Config!$A$4:$A$6,0)))*INDEX(Config!$G$4:$G$5,MATCH(C13,Config!$E$4:$E$5,0))),0))))</f>
        <v>30</v>
      </c>
      <c r="J13" s="13">
        <f t="shared" si="0"/>
        <v>0.60000000000000053</v>
      </c>
      <c r="K13" s="12">
        <v>0.92</v>
      </c>
      <c r="L13" s="13">
        <f>IF(K13="",0,IF(K13&gt;=Config!$B$12,0,IF(K13&gt;Config!$F$14,INDEX(Config!$H$4:$H$5,MATCH(C13,Config!$E$4:$E$5,0))*Config!$F$11,INDEX(Config!$H$4:$H$5,MATCH(C13,Config!$E$4:$E$5,0)))))</f>
        <v>30</v>
      </c>
      <c r="M13" s="13">
        <f>IF(K13="",0,IF(K13&gt;=Config!$B$12,0,IF(K13&gt;=0.96,0,IF(K13&gt;=0.9,Config!$F$12,Config!$F$13))))</f>
        <v>5</v>
      </c>
      <c r="N13" t="s">
        <v>161</v>
      </c>
      <c r="O13" s="11">
        <f>IF(N13="Pass",IFERROR(INDEX(Config!$I$4:$I$5,MATCH(C13,Config!$E$4:$E$5,0)),0),0)</f>
        <v>0</v>
      </c>
      <c r="P13" s="13">
        <f t="shared" si="1"/>
        <v>95.6</v>
      </c>
      <c r="Q13" s="11">
        <f t="shared" si="2"/>
        <v>7</v>
      </c>
      <c r="R13" s="11">
        <f t="shared" si="3"/>
        <v>2026</v>
      </c>
    </row>
    <row r="14" spans="1:18" outlineLevel="1" x14ac:dyDescent="0.25">
      <c r="A14" s="10">
        <v>46206</v>
      </c>
      <c r="B14" t="s">
        <v>173</v>
      </c>
      <c r="C14" t="s">
        <v>100</v>
      </c>
      <c r="D14" t="s">
        <v>86</v>
      </c>
      <c r="E14" t="s">
        <v>163</v>
      </c>
      <c r="F14" s="11">
        <f>IF(E14="Pass",IFERROR(INDEX(Config!$F$4:$F$5,MATCH(C14,Config!$E$4:$E$5,0)),0),0)</f>
        <v>30</v>
      </c>
      <c r="G14" s="12">
        <v>0.38</v>
      </c>
      <c r="H14" s="12">
        <f>IF(C14="Forecasting",IFERROR(INDEX(Config!$B$4:$B$6,MATCH(D14,Config!$A$4:$A$6,0)),""),"")</f>
        <v>0.75</v>
      </c>
      <c r="I14" s="13">
        <f>IF(C14&lt;&gt;"Forecasting",0,IF(G14="",0,IF(ROUND(G14,4)&gt;=ROUND(H14,4),INDEX(Config!$G$4:$G$5,MATCH(C14,Config!$E$4:$E$5,0)),IF(ROUND(G14,4)&gt;=ROUND(H14-INDEX(Config!$C$4:$C$6,MATCH(D14,Config!$A$4:$A$6,0)),4),MAX(1,((G14-(H14-INDEX(Config!$C$4:$C$6,MATCH(D14,Config!$A$4:$A$6,0))))/INDEX(Config!$C$4:$C$6,MATCH(D14,Config!$A$4:$A$6,0)))*INDEX(Config!$G$4:$G$5,MATCH(C14,Config!$E$4:$E$5,0))),0))))</f>
        <v>0</v>
      </c>
      <c r="J14" s="13">
        <f t="shared" si="0"/>
        <v>0</v>
      </c>
      <c r="K14" s="12">
        <v>0.98</v>
      </c>
      <c r="L14" s="13">
        <f>IF(K14="",0,IF(K14&gt;=Config!$B$12,0,IF(K14&gt;Config!$F$14,INDEX(Config!$H$4:$H$5,MATCH(C14,Config!$E$4:$E$5,0))*Config!$F$11,INDEX(Config!$H$4:$H$5,MATCH(C14,Config!$E$4:$E$5,0)))))</f>
        <v>30</v>
      </c>
      <c r="M14" s="13">
        <f>IF(K14="",0,IF(K14&gt;=Config!$B$12,0,IF(K14&gt;=0.96,0,IF(K14&gt;=0.9,Config!$F$12,Config!$F$13))))</f>
        <v>0</v>
      </c>
      <c r="N14" t="s">
        <v>161</v>
      </c>
      <c r="O14" s="11">
        <f>IF(N14="Pass",IFERROR(INDEX(Config!$I$4:$I$5,MATCH(C14,Config!$E$4:$E$5,0)),0),0)</f>
        <v>0</v>
      </c>
      <c r="P14" s="13">
        <f t="shared" si="1"/>
        <v>60</v>
      </c>
      <c r="Q14" s="11">
        <f t="shared" si="2"/>
        <v>7</v>
      </c>
      <c r="R14" s="11">
        <f t="shared" si="3"/>
        <v>2026</v>
      </c>
    </row>
    <row r="15" spans="1:18" outlineLevel="1" x14ac:dyDescent="0.25">
      <c r="A15" s="10">
        <v>46206</v>
      </c>
      <c r="B15" t="s">
        <v>174</v>
      </c>
      <c r="C15" t="s">
        <v>101</v>
      </c>
      <c r="E15" t="s">
        <v>163</v>
      </c>
      <c r="F15" s="11">
        <f>IF(E15="Pass",IFERROR(INDEX(Config!$F$4:$F$5,MATCH(C15,Config!$E$4:$E$5,0)),0),0)</f>
        <v>30</v>
      </c>
      <c r="G15" s="12"/>
      <c r="H15" s="12" t="str">
        <f>IF(C15="Forecasting",IFERROR(INDEX(Config!$B$4:$B$6,MATCH(D15,Config!$A$4:$A$6,0)),""),"")</f>
        <v/>
      </c>
      <c r="I15" s="13">
        <f>IF(C15&lt;&gt;"Forecasting",0,IF(G15="",0,IF(ROUND(G15,4)&gt;=ROUND(H15,4),INDEX(Config!$G$4:$G$5,MATCH(C15,Config!$E$4:$E$5,0)),IF(ROUND(G15,4)&gt;=ROUND(H15-INDEX(Config!$C$4:$C$6,MATCH(D15,Config!$A$4:$A$6,0)),4),MAX(1,((G15-(H15-INDEX(Config!$C$4:$C$6,MATCH(D15,Config!$A$4:$A$6,0))))/INDEX(Config!$C$4:$C$6,MATCH(D15,Config!$A$4:$A$6,0)))*INDEX(Config!$G$4:$G$5,MATCH(C15,Config!$E$4:$E$5,0))),0))))</f>
        <v>0</v>
      </c>
      <c r="J15" s="13">
        <f t="shared" si="0"/>
        <v>0</v>
      </c>
      <c r="K15" s="12">
        <v>0.74</v>
      </c>
      <c r="L15" s="13">
        <f>IF(K15="",0,IF(K15&gt;=Config!$B$12,0,IF(K15&gt;Config!$F$14,INDEX(Config!$H$4:$H$5,MATCH(C15,Config!$E$4:$E$5,0))*Config!$F$11,INDEX(Config!$H$4:$H$5,MATCH(C15,Config!$E$4:$E$5,0)))))</f>
        <v>50</v>
      </c>
      <c r="M15" s="13">
        <f>IF(K15="",0,IF(K15&gt;=Config!$B$12,0,IF(K15&gt;=0.96,0,IF(K15&gt;=0.9,Config!$F$12,Config!$F$13))))</f>
        <v>3</v>
      </c>
      <c r="N15" t="s">
        <v>161</v>
      </c>
      <c r="O15" s="11">
        <f>IF(N15="Pass",IFERROR(INDEX(Config!$I$4:$I$5,MATCH(C15,Config!$E$4:$E$5,0)),0),0)</f>
        <v>0</v>
      </c>
      <c r="P15" s="13">
        <f t="shared" si="1"/>
        <v>83</v>
      </c>
      <c r="Q15" s="11">
        <f t="shared" si="2"/>
        <v>7</v>
      </c>
      <c r="R15" s="11">
        <f t="shared" si="3"/>
        <v>2026</v>
      </c>
    </row>
    <row r="16" spans="1:18" outlineLevel="1" x14ac:dyDescent="0.25">
      <c r="A16" s="10">
        <v>46206</v>
      </c>
      <c r="B16" t="s">
        <v>175</v>
      </c>
      <c r="C16" t="s">
        <v>101</v>
      </c>
      <c r="E16" t="s">
        <v>163</v>
      </c>
      <c r="F16" s="11">
        <f>IF(E16="Pass",IFERROR(INDEX(Config!$F$4:$F$5,MATCH(C16,Config!$E$4:$E$5,0)),0),0)</f>
        <v>30</v>
      </c>
      <c r="G16" s="12"/>
      <c r="H16" s="12" t="str">
        <f>IF(C16="Forecasting",IFERROR(INDEX(Config!$B$4:$B$6,MATCH(D16,Config!$A$4:$A$6,0)),""),"")</f>
        <v/>
      </c>
      <c r="I16" s="13">
        <f>IF(C16&lt;&gt;"Forecasting",0,IF(G16="",0,IF(ROUND(G16,4)&gt;=ROUND(H16,4),INDEX(Config!$G$4:$G$5,MATCH(C16,Config!$E$4:$E$5,0)),IF(ROUND(G16,4)&gt;=ROUND(H16-INDEX(Config!$C$4:$C$6,MATCH(D16,Config!$A$4:$A$6,0)),4),MAX(1,((G16-(H16-INDEX(Config!$C$4:$C$6,MATCH(D16,Config!$A$4:$A$6,0))))/INDEX(Config!$C$4:$C$6,MATCH(D16,Config!$A$4:$A$6,0)))*INDEX(Config!$G$4:$G$5,MATCH(C16,Config!$E$4:$E$5,0))),0))))</f>
        <v>0</v>
      </c>
      <c r="J16" s="13">
        <f t="shared" si="0"/>
        <v>0</v>
      </c>
      <c r="K16" s="12">
        <v>0.71</v>
      </c>
      <c r="L16" s="13">
        <f>IF(K16="",0,IF(K16&gt;=Config!$B$12,0,IF(K16&gt;Config!$F$14,INDEX(Config!$H$4:$H$5,MATCH(C16,Config!$E$4:$E$5,0))*Config!$F$11,INDEX(Config!$H$4:$H$5,MATCH(C16,Config!$E$4:$E$5,0)))))</f>
        <v>50</v>
      </c>
      <c r="M16" s="13">
        <f>IF(K16="",0,IF(K16&gt;=Config!$B$12,0,IF(K16&gt;=0.96,0,IF(K16&gt;=0.9,Config!$F$12,Config!$F$13))))</f>
        <v>3</v>
      </c>
      <c r="N16" t="s">
        <v>163</v>
      </c>
      <c r="O16" s="11">
        <f>IF(N16="Pass",IFERROR(INDEX(Config!$I$4:$I$5,MATCH(C16,Config!$E$4:$E$5,0)),0),0)</f>
        <v>20</v>
      </c>
      <c r="P16" s="13">
        <f t="shared" si="1"/>
        <v>103</v>
      </c>
      <c r="Q16" s="11">
        <f t="shared" si="2"/>
        <v>7</v>
      </c>
      <c r="R16" s="11">
        <f t="shared" si="3"/>
        <v>2026</v>
      </c>
    </row>
    <row r="17" spans="1:18" outlineLevel="1" x14ac:dyDescent="0.25">
      <c r="A17" s="10">
        <v>46206</v>
      </c>
      <c r="B17" t="s">
        <v>176</v>
      </c>
      <c r="C17" t="s">
        <v>101</v>
      </c>
      <c r="E17" t="s">
        <v>163</v>
      </c>
      <c r="F17" s="11">
        <f>IF(E17="Pass",IFERROR(INDEX(Config!$F$4:$F$5,MATCH(C17,Config!$E$4:$E$5,0)),0),0)</f>
        <v>30</v>
      </c>
      <c r="G17" s="12"/>
      <c r="H17" s="12" t="str">
        <f>IF(C17="Forecasting",IFERROR(INDEX(Config!$B$4:$B$6,MATCH(D17,Config!$A$4:$A$6,0)),""),"")</f>
        <v/>
      </c>
      <c r="I17" s="13">
        <f>IF(C17&lt;&gt;"Forecasting",0,IF(G17="",0,IF(ROUND(G17,4)&gt;=ROUND(H17,4),INDEX(Config!$G$4:$G$5,MATCH(C17,Config!$E$4:$E$5,0)),IF(ROUND(G17,4)&gt;=ROUND(H17-INDEX(Config!$C$4:$C$6,MATCH(D17,Config!$A$4:$A$6,0)),4),MAX(1,((G17-(H17-INDEX(Config!$C$4:$C$6,MATCH(D17,Config!$A$4:$A$6,0))))/INDEX(Config!$C$4:$C$6,MATCH(D17,Config!$A$4:$A$6,0)))*INDEX(Config!$G$4:$G$5,MATCH(C17,Config!$E$4:$E$5,0))),0))))</f>
        <v>0</v>
      </c>
      <c r="J17" s="13">
        <f t="shared" si="0"/>
        <v>0</v>
      </c>
      <c r="K17" s="12">
        <v>0.66</v>
      </c>
      <c r="L17" s="13">
        <f>IF(K17="",0,IF(K17&gt;=Config!$B$12,0,IF(K17&gt;Config!$F$14,INDEX(Config!$H$4:$H$5,MATCH(C17,Config!$E$4:$E$5,0))*Config!$F$11,INDEX(Config!$H$4:$H$5,MATCH(C17,Config!$E$4:$E$5,0)))))</f>
        <v>50</v>
      </c>
      <c r="M17" s="13">
        <f>IF(K17="",0,IF(K17&gt;=Config!$B$12,0,IF(K17&gt;=0.96,0,IF(K17&gt;=0.9,Config!$F$12,Config!$F$13))))</f>
        <v>3</v>
      </c>
      <c r="N17" t="s">
        <v>161</v>
      </c>
      <c r="O17" s="11">
        <f>IF(N17="Pass",IFERROR(INDEX(Config!$I$4:$I$5,MATCH(C17,Config!$E$4:$E$5,0)),0),0)</f>
        <v>0</v>
      </c>
      <c r="P17" s="13">
        <f t="shared" si="1"/>
        <v>83</v>
      </c>
      <c r="Q17" s="11">
        <f t="shared" si="2"/>
        <v>7</v>
      </c>
      <c r="R17" s="11">
        <f t="shared" si="3"/>
        <v>2026</v>
      </c>
    </row>
    <row r="18" spans="1:18" outlineLevel="1" x14ac:dyDescent="0.25">
      <c r="A18" s="10">
        <v>46206</v>
      </c>
      <c r="B18" t="s">
        <v>177</v>
      </c>
      <c r="C18" t="s">
        <v>101</v>
      </c>
      <c r="E18" t="s">
        <v>163</v>
      </c>
      <c r="F18" s="11">
        <f>IF(E18="Pass",IFERROR(INDEX(Config!$F$4:$F$5,MATCH(C18,Config!$E$4:$E$5,0)),0),0)</f>
        <v>30</v>
      </c>
      <c r="G18" s="12"/>
      <c r="H18" s="12" t="str">
        <f>IF(C18="Forecasting",IFERROR(INDEX(Config!$B$4:$B$6,MATCH(D18,Config!$A$4:$A$6,0)),""),"")</f>
        <v/>
      </c>
      <c r="I18" s="13">
        <f>IF(C18&lt;&gt;"Forecasting",0,IF(G18="",0,IF(ROUND(G18,4)&gt;=ROUND(H18,4),INDEX(Config!$G$4:$G$5,MATCH(C18,Config!$E$4:$E$5,0)),IF(ROUND(G18,4)&gt;=ROUND(H18-INDEX(Config!$C$4:$C$6,MATCH(D18,Config!$A$4:$A$6,0)),4),MAX(1,((G18-(H18-INDEX(Config!$C$4:$C$6,MATCH(D18,Config!$A$4:$A$6,0))))/INDEX(Config!$C$4:$C$6,MATCH(D18,Config!$A$4:$A$6,0)))*INDEX(Config!$G$4:$G$5,MATCH(C18,Config!$E$4:$E$5,0))),0))))</f>
        <v>0</v>
      </c>
      <c r="J18" s="13">
        <f t="shared" si="0"/>
        <v>0</v>
      </c>
      <c r="K18" s="12">
        <v>1.0900000000000001</v>
      </c>
      <c r="L18" s="13">
        <f>IF(K18="",0,IF(K18&gt;=Config!$B$12,0,IF(K18&gt;Config!$F$14,INDEX(Config!$H$4:$H$5,MATCH(C18,Config!$E$4:$E$5,0))*Config!$F$11,INDEX(Config!$H$4:$H$5,MATCH(C18,Config!$E$4:$E$5,0)))))</f>
        <v>0</v>
      </c>
      <c r="M18" s="13">
        <f>IF(K18="",0,IF(K18&gt;=Config!$B$12,0,IF(K18&gt;=0.96,0,IF(K18&gt;=0.9,Config!$F$12,Config!$F$13))))</f>
        <v>0</v>
      </c>
      <c r="N18" t="s">
        <v>163</v>
      </c>
      <c r="O18" s="11">
        <f>IF(N18="Pass",IFERROR(INDEX(Config!$I$4:$I$5,MATCH(C18,Config!$E$4:$E$5,0)),0),0)</f>
        <v>20</v>
      </c>
      <c r="P18" s="13">
        <f t="shared" si="1"/>
        <v>50</v>
      </c>
      <c r="Q18" s="11">
        <f t="shared" si="2"/>
        <v>7</v>
      </c>
      <c r="R18" s="11">
        <f t="shared" si="3"/>
        <v>2026</v>
      </c>
    </row>
    <row r="19" spans="1:18" outlineLevel="1" x14ac:dyDescent="0.25">
      <c r="A19" s="10">
        <v>46206</v>
      </c>
      <c r="B19" t="s">
        <v>178</v>
      </c>
      <c r="C19" t="s">
        <v>101</v>
      </c>
      <c r="E19" t="s">
        <v>163</v>
      </c>
      <c r="F19" s="11">
        <f>IF(E19="Pass",IFERROR(INDEX(Config!$F$4:$F$5,MATCH(C19,Config!$E$4:$E$5,0)),0),0)</f>
        <v>30</v>
      </c>
      <c r="G19" s="12"/>
      <c r="H19" s="12" t="str">
        <f>IF(C19="Forecasting",IFERROR(INDEX(Config!$B$4:$B$6,MATCH(D19,Config!$A$4:$A$6,0)),""),"")</f>
        <v/>
      </c>
      <c r="I19" s="13">
        <f>IF(C19&lt;&gt;"Forecasting",0,IF(G19="",0,IF(ROUND(G19,4)&gt;=ROUND(H19,4),INDEX(Config!$G$4:$G$5,MATCH(C19,Config!$E$4:$E$5,0)),IF(ROUND(G19,4)&gt;=ROUND(H19-INDEX(Config!$C$4:$C$6,MATCH(D19,Config!$A$4:$A$6,0)),4),MAX(1,((G19-(H19-INDEX(Config!$C$4:$C$6,MATCH(D19,Config!$A$4:$A$6,0))))/INDEX(Config!$C$4:$C$6,MATCH(D19,Config!$A$4:$A$6,0)))*INDEX(Config!$G$4:$G$5,MATCH(C19,Config!$E$4:$E$5,0))),0))))</f>
        <v>0</v>
      </c>
      <c r="J19" s="13">
        <f t="shared" si="0"/>
        <v>0</v>
      </c>
      <c r="K19" s="12">
        <v>0.61</v>
      </c>
      <c r="L19" s="13">
        <f>IF(K19="",0,IF(K19&gt;=Config!$B$12,0,IF(K19&gt;Config!$F$14,INDEX(Config!$H$4:$H$5,MATCH(C19,Config!$E$4:$E$5,0))*Config!$F$11,INDEX(Config!$H$4:$H$5,MATCH(C19,Config!$E$4:$E$5,0)))))</f>
        <v>50</v>
      </c>
      <c r="M19" s="13">
        <f>IF(K19="",0,IF(K19&gt;=Config!$B$12,0,IF(K19&gt;=0.96,0,IF(K19&gt;=0.9,Config!$F$12,Config!$F$13))))</f>
        <v>3</v>
      </c>
      <c r="N19" t="s">
        <v>163</v>
      </c>
      <c r="O19" s="11">
        <f>IF(N19="Pass",IFERROR(INDEX(Config!$I$4:$I$5,MATCH(C19,Config!$E$4:$E$5,0)),0),0)</f>
        <v>20</v>
      </c>
      <c r="P19" s="13">
        <f t="shared" si="1"/>
        <v>103</v>
      </c>
      <c r="Q19" s="11">
        <f t="shared" si="2"/>
        <v>7</v>
      </c>
      <c r="R19" s="11">
        <f t="shared" si="3"/>
        <v>2026</v>
      </c>
    </row>
    <row r="20" spans="1:18" outlineLevel="1" x14ac:dyDescent="0.25">
      <c r="A20" s="10">
        <v>46206</v>
      </c>
      <c r="B20" t="s">
        <v>179</v>
      </c>
      <c r="C20" t="s">
        <v>101</v>
      </c>
      <c r="E20" t="s">
        <v>161</v>
      </c>
      <c r="F20" s="11">
        <f>IF(E20="Pass",IFERROR(INDEX(Config!$F$4:$F$5,MATCH(C20,Config!$E$4:$E$5,0)),0),0)</f>
        <v>0</v>
      </c>
      <c r="G20" s="12"/>
      <c r="H20" s="12" t="str">
        <f>IF(C20="Forecasting",IFERROR(INDEX(Config!$B$4:$B$6,MATCH(D20,Config!$A$4:$A$6,0)),""),"")</f>
        <v/>
      </c>
      <c r="I20" s="13">
        <f>IF(C20&lt;&gt;"Forecasting",0,IF(G20="",0,IF(ROUND(G20,4)&gt;=ROUND(H20,4),INDEX(Config!$G$4:$G$5,MATCH(C20,Config!$E$4:$E$5,0)),IF(ROUND(G20,4)&gt;=ROUND(H20-INDEX(Config!$C$4:$C$6,MATCH(D20,Config!$A$4:$A$6,0)),4),MAX(1,((G20-(H20-INDEX(Config!$C$4:$C$6,MATCH(D20,Config!$A$4:$A$6,0))))/INDEX(Config!$C$4:$C$6,MATCH(D20,Config!$A$4:$A$6,0)))*INDEX(Config!$G$4:$G$5,MATCH(C20,Config!$E$4:$E$5,0))),0))))</f>
        <v>0</v>
      </c>
      <c r="J20" s="13">
        <f t="shared" si="0"/>
        <v>0</v>
      </c>
      <c r="K20" s="12">
        <v>1.03</v>
      </c>
      <c r="L20" s="13">
        <f>IF(K20="",0,IF(K20&gt;=Config!$B$12,0,IF(K20&gt;Config!$F$14,INDEX(Config!$H$4:$H$5,MATCH(C20,Config!$E$4:$E$5,0))*Config!$F$11,INDEX(Config!$H$4:$H$5,MATCH(C20,Config!$E$4:$E$5,0)))))</f>
        <v>0</v>
      </c>
      <c r="M20" s="13">
        <f>IF(K20="",0,IF(K20&gt;=Config!$B$12,0,IF(K20&gt;=0.96,0,IF(K20&gt;=0.9,Config!$F$12,Config!$F$13))))</f>
        <v>0</v>
      </c>
      <c r="N20" t="s">
        <v>163</v>
      </c>
      <c r="O20" s="11">
        <f>IF(N20="Pass",IFERROR(INDEX(Config!$I$4:$I$5,MATCH(C20,Config!$E$4:$E$5,0)),0),0)</f>
        <v>20</v>
      </c>
      <c r="P20" s="13">
        <f t="shared" si="1"/>
        <v>20</v>
      </c>
      <c r="Q20" s="11">
        <f t="shared" si="2"/>
        <v>7</v>
      </c>
      <c r="R20" s="11">
        <f t="shared" si="3"/>
        <v>2026</v>
      </c>
    </row>
    <row r="21" spans="1:18" outlineLevel="1" x14ac:dyDescent="0.25">
      <c r="A21" s="10">
        <v>46206</v>
      </c>
      <c r="B21" t="s">
        <v>180</v>
      </c>
      <c r="C21" t="s">
        <v>101</v>
      </c>
      <c r="E21" t="s">
        <v>161</v>
      </c>
      <c r="F21" s="11">
        <f>IF(E21="Pass",IFERROR(INDEX(Config!$F$4:$F$5,MATCH(C21,Config!$E$4:$E$5,0)),0),0)</f>
        <v>0</v>
      </c>
      <c r="G21" s="12"/>
      <c r="H21" s="12" t="str">
        <f>IF(C21="Forecasting",IFERROR(INDEX(Config!$B$4:$B$6,MATCH(D21,Config!$A$4:$A$6,0)),""),"")</f>
        <v/>
      </c>
      <c r="I21" s="13">
        <f>IF(C21&lt;&gt;"Forecasting",0,IF(G21="",0,IF(ROUND(G21,4)&gt;=ROUND(H21,4),INDEX(Config!$G$4:$G$5,MATCH(C21,Config!$E$4:$E$5,0)),IF(ROUND(G21,4)&gt;=ROUND(H21-INDEX(Config!$C$4:$C$6,MATCH(D21,Config!$A$4:$A$6,0)),4),MAX(1,((G21-(H21-INDEX(Config!$C$4:$C$6,MATCH(D21,Config!$A$4:$A$6,0))))/INDEX(Config!$C$4:$C$6,MATCH(D21,Config!$A$4:$A$6,0)))*INDEX(Config!$G$4:$G$5,MATCH(C21,Config!$E$4:$E$5,0))),0))))</f>
        <v>0</v>
      </c>
      <c r="J21" s="13">
        <f t="shared" si="0"/>
        <v>0</v>
      </c>
      <c r="K21" s="12">
        <v>1.1499999999999999</v>
      </c>
      <c r="L21" s="13">
        <f>IF(K21="",0,IF(K21&gt;=Config!$B$12,0,IF(K21&gt;Config!$F$14,INDEX(Config!$H$4:$H$5,MATCH(C21,Config!$E$4:$E$5,0))*Config!$F$11,INDEX(Config!$H$4:$H$5,MATCH(C21,Config!$E$4:$E$5,0)))))</f>
        <v>0</v>
      </c>
      <c r="M21" s="13">
        <f>IF(K21="",0,IF(K21&gt;=Config!$B$12,0,IF(K21&gt;=0.96,0,IF(K21&gt;=0.9,Config!$F$12,Config!$F$13))))</f>
        <v>0</v>
      </c>
      <c r="N21" t="s">
        <v>163</v>
      </c>
      <c r="O21" s="11">
        <f>IF(N21="Pass",IFERROR(INDEX(Config!$I$4:$I$5,MATCH(C21,Config!$E$4:$E$5,0)),0),0)</f>
        <v>20</v>
      </c>
      <c r="P21" s="13">
        <f t="shared" si="1"/>
        <v>20</v>
      </c>
      <c r="Q21" s="11">
        <f t="shared" si="2"/>
        <v>7</v>
      </c>
      <c r="R21" s="11">
        <f t="shared" si="3"/>
        <v>2026</v>
      </c>
    </row>
    <row r="22" spans="1:18" outlineLevel="1" x14ac:dyDescent="0.25">
      <c r="A22" s="10">
        <v>46206</v>
      </c>
      <c r="B22" t="s">
        <v>181</v>
      </c>
      <c r="C22" t="s">
        <v>101</v>
      </c>
      <c r="E22" t="s">
        <v>163</v>
      </c>
      <c r="F22" s="11">
        <f>IF(E22="Pass",IFERROR(INDEX(Config!$F$4:$F$5,MATCH(C22,Config!$E$4:$E$5,0)),0),0)</f>
        <v>30</v>
      </c>
      <c r="G22" s="12"/>
      <c r="H22" s="12" t="str">
        <f>IF(C22="Forecasting",IFERROR(INDEX(Config!$B$4:$B$6,MATCH(D22,Config!$A$4:$A$6,0)),""),"")</f>
        <v/>
      </c>
      <c r="I22" s="13">
        <f>IF(C22&lt;&gt;"Forecasting",0,IF(G22="",0,IF(ROUND(G22,4)&gt;=ROUND(H22,4),INDEX(Config!$G$4:$G$5,MATCH(C22,Config!$E$4:$E$5,0)),IF(ROUND(G22,4)&gt;=ROUND(H22-INDEX(Config!$C$4:$C$6,MATCH(D22,Config!$A$4:$A$6,0)),4),MAX(1,((G22-(H22-INDEX(Config!$C$4:$C$6,MATCH(D22,Config!$A$4:$A$6,0))))/INDEX(Config!$C$4:$C$6,MATCH(D22,Config!$A$4:$A$6,0)))*INDEX(Config!$G$4:$G$5,MATCH(C22,Config!$E$4:$E$5,0))),0))))</f>
        <v>0</v>
      </c>
      <c r="J22" s="13">
        <f t="shared" si="0"/>
        <v>0</v>
      </c>
      <c r="K22" s="12">
        <v>0.59</v>
      </c>
      <c r="L22" s="13">
        <f>IF(K22="",0,IF(K22&gt;=Config!$B$12,0,IF(K22&gt;Config!$F$14,INDEX(Config!$H$4:$H$5,MATCH(C22,Config!$E$4:$E$5,0))*Config!$F$11,INDEX(Config!$H$4:$H$5,MATCH(C22,Config!$E$4:$E$5,0)))))</f>
        <v>50</v>
      </c>
      <c r="M22" s="13">
        <f>IF(K22="",0,IF(K22&gt;=Config!$B$12,0,IF(K22&gt;=0.96,0,IF(K22&gt;=0.9,Config!$F$12,Config!$F$13))))</f>
        <v>3</v>
      </c>
      <c r="N22" t="s">
        <v>161</v>
      </c>
      <c r="O22" s="11">
        <f>IF(N22="Pass",IFERROR(INDEX(Config!$I$4:$I$5,MATCH(C22,Config!$E$4:$E$5,0)),0),0)</f>
        <v>0</v>
      </c>
      <c r="P22" s="13">
        <f t="shared" si="1"/>
        <v>83</v>
      </c>
      <c r="Q22" s="11">
        <f t="shared" si="2"/>
        <v>7</v>
      </c>
      <c r="R22" s="11">
        <f t="shared" si="3"/>
        <v>2026</v>
      </c>
    </row>
    <row r="23" spans="1:18" outlineLevel="1" x14ac:dyDescent="0.25">
      <c r="A23" s="10">
        <v>46206</v>
      </c>
      <c r="B23" t="s">
        <v>182</v>
      </c>
      <c r="C23" t="s">
        <v>101</v>
      </c>
      <c r="E23" t="s">
        <v>161</v>
      </c>
      <c r="F23" s="11">
        <f>IF(E23="Pass",IFERROR(INDEX(Config!$F$4:$F$5,MATCH(C23,Config!$E$4:$E$5,0)),0),0)</f>
        <v>0</v>
      </c>
      <c r="G23" s="12"/>
      <c r="H23" s="12" t="str">
        <f>IF(C23="Forecasting",IFERROR(INDEX(Config!$B$4:$B$6,MATCH(D23,Config!$A$4:$A$6,0)),""),"")</f>
        <v/>
      </c>
      <c r="I23" s="13">
        <f>IF(C23&lt;&gt;"Forecasting",0,IF(G23="",0,IF(ROUND(G23,4)&gt;=ROUND(H23,4),INDEX(Config!$G$4:$G$5,MATCH(C23,Config!$E$4:$E$5,0)),IF(ROUND(G23,4)&gt;=ROUND(H23-INDEX(Config!$C$4:$C$6,MATCH(D23,Config!$A$4:$A$6,0)),4),MAX(1,((G23-(H23-INDEX(Config!$C$4:$C$6,MATCH(D23,Config!$A$4:$A$6,0))))/INDEX(Config!$C$4:$C$6,MATCH(D23,Config!$A$4:$A$6,0)))*INDEX(Config!$G$4:$G$5,MATCH(C23,Config!$E$4:$E$5,0))),0))))</f>
        <v>0</v>
      </c>
      <c r="J23" s="13">
        <f t="shared" si="0"/>
        <v>0</v>
      </c>
      <c r="K23" s="12">
        <v>1.02</v>
      </c>
      <c r="L23" s="13">
        <f>IF(K23="",0,IF(K23&gt;=Config!$B$12,0,IF(K23&gt;Config!$F$14,INDEX(Config!$H$4:$H$5,MATCH(C23,Config!$E$4:$E$5,0))*Config!$F$11,INDEX(Config!$H$4:$H$5,MATCH(C23,Config!$E$4:$E$5,0)))))</f>
        <v>0</v>
      </c>
      <c r="M23" s="13">
        <f>IF(K23="",0,IF(K23&gt;=Config!$B$12,0,IF(K23&gt;=0.96,0,IF(K23&gt;=0.9,Config!$F$12,Config!$F$13))))</f>
        <v>0</v>
      </c>
      <c r="N23" t="s">
        <v>161</v>
      </c>
      <c r="O23" s="11">
        <f>IF(N23="Pass",IFERROR(INDEX(Config!$I$4:$I$5,MATCH(C23,Config!$E$4:$E$5,0)),0),0)</f>
        <v>0</v>
      </c>
      <c r="P23" s="13">
        <f t="shared" si="1"/>
        <v>0</v>
      </c>
      <c r="Q23" s="11">
        <f t="shared" si="2"/>
        <v>7</v>
      </c>
      <c r="R23" s="11">
        <f t="shared" si="3"/>
        <v>2026</v>
      </c>
    </row>
    <row r="24" spans="1:18" outlineLevel="1" x14ac:dyDescent="0.25">
      <c r="A24" s="10">
        <v>46206</v>
      </c>
      <c r="B24" t="s">
        <v>183</v>
      </c>
      <c r="C24" t="s">
        <v>101</v>
      </c>
      <c r="E24" t="s">
        <v>163</v>
      </c>
      <c r="F24" s="11">
        <f>IF(E24="Pass",IFERROR(INDEX(Config!$F$4:$F$5,MATCH(C24,Config!$E$4:$E$5,0)),0),0)</f>
        <v>30</v>
      </c>
      <c r="G24" s="12"/>
      <c r="H24" s="12" t="str">
        <f>IF(C24="Forecasting",IFERROR(INDEX(Config!$B$4:$B$6,MATCH(D24,Config!$A$4:$A$6,0)),""),"")</f>
        <v/>
      </c>
      <c r="I24" s="13">
        <f>IF(C24&lt;&gt;"Forecasting",0,IF(G24="",0,IF(ROUND(G24,4)&gt;=ROUND(H24,4),INDEX(Config!$G$4:$G$5,MATCH(C24,Config!$E$4:$E$5,0)),IF(ROUND(G24,4)&gt;=ROUND(H24-INDEX(Config!$C$4:$C$6,MATCH(D24,Config!$A$4:$A$6,0)),4),MAX(1,((G24-(H24-INDEX(Config!$C$4:$C$6,MATCH(D24,Config!$A$4:$A$6,0))))/INDEX(Config!$C$4:$C$6,MATCH(D24,Config!$A$4:$A$6,0)))*INDEX(Config!$G$4:$G$5,MATCH(C24,Config!$E$4:$E$5,0))),0))))</f>
        <v>0</v>
      </c>
      <c r="J24" s="13">
        <f t="shared" si="0"/>
        <v>0</v>
      </c>
      <c r="K24" s="12">
        <v>0.92</v>
      </c>
      <c r="L24" s="13">
        <f>IF(K24="",0,IF(K24&gt;=Config!$B$12,0,IF(K24&gt;Config!$F$14,INDEX(Config!$H$4:$H$5,MATCH(C24,Config!$E$4:$E$5,0))*Config!$F$11,INDEX(Config!$H$4:$H$5,MATCH(C24,Config!$E$4:$E$5,0)))))</f>
        <v>50</v>
      </c>
      <c r="M24" s="13">
        <f>IF(K24="",0,IF(K24&gt;=Config!$B$12,0,IF(K24&gt;=0.96,0,IF(K24&gt;=0.9,Config!$F$12,Config!$F$13))))</f>
        <v>5</v>
      </c>
      <c r="N24" t="s">
        <v>163</v>
      </c>
      <c r="O24" s="11">
        <f>IF(N24="Pass",IFERROR(INDEX(Config!$I$4:$I$5,MATCH(C24,Config!$E$4:$E$5,0)),0),0)</f>
        <v>20</v>
      </c>
      <c r="P24" s="13">
        <f t="shared" si="1"/>
        <v>105</v>
      </c>
      <c r="Q24" s="11">
        <f t="shared" si="2"/>
        <v>7</v>
      </c>
      <c r="R24" s="11">
        <f t="shared" si="3"/>
        <v>2026</v>
      </c>
    </row>
    <row r="25" spans="1:18" outlineLevel="1" x14ac:dyDescent="0.25">
      <c r="A25" s="10">
        <v>46206</v>
      </c>
      <c r="B25" t="s">
        <v>184</v>
      </c>
      <c r="C25" t="s">
        <v>101</v>
      </c>
      <c r="E25" t="s">
        <v>163</v>
      </c>
      <c r="F25" s="11">
        <f>IF(E25="Pass",IFERROR(INDEX(Config!$F$4:$F$5,MATCH(C25,Config!$E$4:$E$5,0)),0),0)</f>
        <v>30</v>
      </c>
      <c r="G25" s="12"/>
      <c r="H25" s="12" t="str">
        <f>IF(C25="Forecasting",IFERROR(INDEX(Config!$B$4:$B$6,MATCH(D25,Config!$A$4:$A$6,0)),""),"")</f>
        <v/>
      </c>
      <c r="I25" s="13">
        <f>IF(C25&lt;&gt;"Forecasting",0,IF(G25="",0,IF(ROUND(G25,4)&gt;=ROUND(H25,4),INDEX(Config!$G$4:$G$5,MATCH(C25,Config!$E$4:$E$5,0)),IF(ROUND(G25,4)&gt;=ROUND(H25-INDEX(Config!$C$4:$C$6,MATCH(D25,Config!$A$4:$A$6,0)),4),MAX(1,((G25-(H25-INDEX(Config!$C$4:$C$6,MATCH(D25,Config!$A$4:$A$6,0))))/INDEX(Config!$C$4:$C$6,MATCH(D25,Config!$A$4:$A$6,0)))*INDEX(Config!$G$4:$G$5,MATCH(C25,Config!$E$4:$E$5,0))),0))))</f>
        <v>0</v>
      </c>
      <c r="J25" s="13">
        <f t="shared" si="0"/>
        <v>0</v>
      </c>
      <c r="K25" s="12">
        <v>0.65</v>
      </c>
      <c r="L25" s="13">
        <f>IF(K25="",0,IF(K25&gt;=Config!$B$12,0,IF(K25&gt;Config!$F$14,INDEX(Config!$H$4:$H$5,MATCH(C25,Config!$E$4:$E$5,0))*Config!$F$11,INDEX(Config!$H$4:$H$5,MATCH(C25,Config!$E$4:$E$5,0)))))</f>
        <v>50</v>
      </c>
      <c r="M25" s="13">
        <f>IF(K25="",0,IF(K25&gt;=Config!$B$12,0,IF(K25&gt;=0.96,0,IF(K25&gt;=0.9,Config!$F$12,Config!$F$13))))</f>
        <v>3</v>
      </c>
      <c r="N25" t="s">
        <v>163</v>
      </c>
      <c r="O25" s="11">
        <f>IF(N25="Pass",IFERROR(INDEX(Config!$I$4:$I$5,MATCH(C25,Config!$E$4:$E$5,0)),0),0)</f>
        <v>20</v>
      </c>
      <c r="P25" s="13">
        <f t="shared" si="1"/>
        <v>103</v>
      </c>
      <c r="Q25" s="11">
        <f t="shared" si="2"/>
        <v>7</v>
      </c>
      <c r="R25" s="11">
        <f t="shared" si="3"/>
        <v>2026</v>
      </c>
    </row>
    <row r="26" spans="1:18" outlineLevel="1" x14ac:dyDescent="0.25">
      <c r="A26" s="10">
        <v>46206</v>
      </c>
      <c r="B26" t="s">
        <v>185</v>
      </c>
      <c r="C26" t="s">
        <v>101</v>
      </c>
      <c r="E26" t="s">
        <v>163</v>
      </c>
      <c r="F26" s="11">
        <f>IF(E26="Pass",IFERROR(INDEX(Config!$F$4:$F$5,MATCH(C26,Config!$E$4:$E$5,0)),0),0)</f>
        <v>30</v>
      </c>
      <c r="G26" s="12"/>
      <c r="H26" s="12" t="str">
        <f>IF(C26="Forecasting",IFERROR(INDEX(Config!$B$4:$B$6,MATCH(D26,Config!$A$4:$A$6,0)),""),"")</f>
        <v/>
      </c>
      <c r="I26" s="13">
        <f>IF(C26&lt;&gt;"Forecasting",0,IF(G26="",0,IF(ROUND(G26,4)&gt;=ROUND(H26,4),INDEX(Config!$G$4:$G$5,MATCH(C26,Config!$E$4:$E$5,0)),IF(ROUND(G26,4)&gt;=ROUND(H26-INDEX(Config!$C$4:$C$6,MATCH(D26,Config!$A$4:$A$6,0)),4),MAX(1,((G26-(H26-INDEX(Config!$C$4:$C$6,MATCH(D26,Config!$A$4:$A$6,0))))/INDEX(Config!$C$4:$C$6,MATCH(D26,Config!$A$4:$A$6,0)))*INDEX(Config!$G$4:$G$5,MATCH(C26,Config!$E$4:$E$5,0))),0))))</f>
        <v>0</v>
      </c>
      <c r="J26" s="13">
        <f t="shared" si="0"/>
        <v>0</v>
      </c>
      <c r="K26" s="12">
        <v>0.94</v>
      </c>
      <c r="L26" s="13">
        <f>IF(K26="",0,IF(K26&gt;=Config!$B$12,0,IF(K26&gt;Config!$F$14,INDEX(Config!$H$4:$H$5,MATCH(C26,Config!$E$4:$E$5,0))*Config!$F$11,INDEX(Config!$H$4:$H$5,MATCH(C26,Config!$E$4:$E$5,0)))))</f>
        <v>50</v>
      </c>
      <c r="M26" s="13">
        <f>IF(K26="",0,IF(K26&gt;=Config!$B$12,0,IF(K26&gt;=0.96,0,IF(K26&gt;=0.9,Config!$F$12,Config!$F$13))))</f>
        <v>5</v>
      </c>
      <c r="N26" t="s">
        <v>163</v>
      </c>
      <c r="O26" s="11">
        <f>IF(N26="Pass",IFERROR(INDEX(Config!$I$4:$I$5,MATCH(C26,Config!$E$4:$E$5,0)),0),0)</f>
        <v>20</v>
      </c>
      <c r="P26" s="13">
        <f t="shared" si="1"/>
        <v>105</v>
      </c>
      <c r="Q26" s="11">
        <f t="shared" si="2"/>
        <v>7</v>
      </c>
      <c r="R26" s="11">
        <f t="shared" si="3"/>
        <v>2026</v>
      </c>
    </row>
    <row r="27" spans="1:18" outlineLevel="1" x14ac:dyDescent="0.25">
      <c r="A27" s="10">
        <v>46206</v>
      </c>
      <c r="B27" t="s">
        <v>186</v>
      </c>
      <c r="C27" t="s">
        <v>101</v>
      </c>
      <c r="E27" t="s">
        <v>163</v>
      </c>
      <c r="F27" s="11">
        <f>IF(E27="Pass",IFERROR(INDEX(Config!$F$4:$F$5,MATCH(C27,Config!$E$4:$E$5,0)),0),0)</f>
        <v>30</v>
      </c>
      <c r="G27" s="12"/>
      <c r="H27" s="12" t="str">
        <f>IF(C27="Forecasting",IFERROR(INDEX(Config!$B$4:$B$6,MATCH(D27,Config!$A$4:$A$6,0)),""),"")</f>
        <v/>
      </c>
      <c r="I27" s="13">
        <f>IF(C27&lt;&gt;"Forecasting",0,IF(G27="",0,IF(ROUND(G27,4)&gt;=ROUND(H27,4),INDEX(Config!$G$4:$G$5,MATCH(C27,Config!$E$4:$E$5,0)),IF(ROUND(G27,4)&gt;=ROUND(H27-INDEX(Config!$C$4:$C$6,MATCH(D27,Config!$A$4:$A$6,0)),4),MAX(1,((G27-(H27-INDEX(Config!$C$4:$C$6,MATCH(D27,Config!$A$4:$A$6,0))))/INDEX(Config!$C$4:$C$6,MATCH(D27,Config!$A$4:$A$6,0)))*INDEX(Config!$G$4:$G$5,MATCH(C27,Config!$E$4:$E$5,0))),0))))</f>
        <v>0</v>
      </c>
      <c r="J27" s="13">
        <f t="shared" si="0"/>
        <v>0</v>
      </c>
      <c r="K27" s="12">
        <v>0.91</v>
      </c>
      <c r="L27" s="13">
        <f>IF(K27="",0,IF(K27&gt;=Config!$B$12,0,IF(K27&gt;Config!$F$14,INDEX(Config!$H$4:$H$5,MATCH(C27,Config!$E$4:$E$5,0))*Config!$F$11,INDEX(Config!$H$4:$H$5,MATCH(C27,Config!$E$4:$E$5,0)))))</f>
        <v>50</v>
      </c>
      <c r="M27" s="13">
        <f>IF(K27="",0,IF(K27&gt;=Config!$B$12,0,IF(K27&gt;=0.96,0,IF(K27&gt;=0.9,Config!$F$12,Config!$F$13))))</f>
        <v>5</v>
      </c>
      <c r="N27" t="s">
        <v>163</v>
      </c>
      <c r="O27" s="11">
        <f>IF(N27="Pass",IFERROR(INDEX(Config!$I$4:$I$5,MATCH(C27,Config!$E$4:$E$5,0)),0),0)</f>
        <v>20</v>
      </c>
      <c r="P27" s="13">
        <f t="shared" si="1"/>
        <v>105</v>
      </c>
      <c r="Q27" s="11">
        <f t="shared" si="2"/>
        <v>7</v>
      </c>
      <c r="R27" s="11">
        <f t="shared" si="3"/>
        <v>2026</v>
      </c>
    </row>
    <row r="28" spans="1:18" outlineLevel="1" x14ac:dyDescent="0.25">
      <c r="A28" s="10">
        <v>46206</v>
      </c>
      <c r="B28" t="s">
        <v>187</v>
      </c>
      <c r="C28" t="s">
        <v>101</v>
      </c>
      <c r="E28" t="s">
        <v>163</v>
      </c>
      <c r="F28" s="11">
        <f>IF(E28="Pass",IFERROR(INDEX(Config!$F$4:$F$5,MATCH(C28,Config!$E$4:$E$5,0)),0),0)</f>
        <v>30</v>
      </c>
      <c r="G28" s="12"/>
      <c r="H28" s="12" t="str">
        <f>IF(C28="Forecasting",IFERROR(INDEX(Config!$B$4:$B$6,MATCH(D28,Config!$A$4:$A$6,0)),""),"")</f>
        <v/>
      </c>
      <c r="I28" s="13">
        <f>IF(C28&lt;&gt;"Forecasting",0,IF(G28="",0,IF(ROUND(G28,4)&gt;=ROUND(H28,4),INDEX(Config!$G$4:$G$5,MATCH(C28,Config!$E$4:$E$5,0)),IF(ROUND(G28,4)&gt;=ROUND(H28-INDEX(Config!$C$4:$C$6,MATCH(D28,Config!$A$4:$A$6,0)),4),MAX(1,((G28-(H28-INDEX(Config!$C$4:$C$6,MATCH(D28,Config!$A$4:$A$6,0))))/INDEX(Config!$C$4:$C$6,MATCH(D28,Config!$A$4:$A$6,0)))*INDEX(Config!$G$4:$G$5,MATCH(C28,Config!$E$4:$E$5,0))),0))))</f>
        <v>0</v>
      </c>
      <c r="J28" s="13">
        <f t="shared" si="0"/>
        <v>0</v>
      </c>
      <c r="K28" s="12">
        <v>0.63</v>
      </c>
      <c r="L28" s="13">
        <f>IF(K28="",0,IF(K28&gt;=Config!$B$12,0,IF(K28&gt;Config!$F$14,INDEX(Config!$H$4:$H$5,MATCH(C28,Config!$E$4:$E$5,0))*Config!$F$11,INDEX(Config!$H$4:$H$5,MATCH(C28,Config!$E$4:$E$5,0)))))</f>
        <v>50</v>
      </c>
      <c r="M28" s="13">
        <f>IF(K28="",0,IF(K28&gt;=Config!$B$12,0,IF(K28&gt;=0.96,0,IF(K28&gt;=0.9,Config!$F$12,Config!$F$13))))</f>
        <v>3</v>
      </c>
      <c r="N28" t="s">
        <v>161</v>
      </c>
      <c r="O28" s="11">
        <f>IF(N28="Pass",IFERROR(INDEX(Config!$I$4:$I$5,MATCH(C28,Config!$E$4:$E$5,0)),0),0)</f>
        <v>0</v>
      </c>
      <c r="P28" s="13">
        <f t="shared" si="1"/>
        <v>83</v>
      </c>
      <c r="Q28" s="11">
        <f t="shared" si="2"/>
        <v>7</v>
      </c>
      <c r="R28" s="11">
        <f t="shared" si="3"/>
        <v>2026</v>
      </c>
    </row>
    <row r="29" spans="1:18" outlineLevel="1" x14ac:dyDescent="0.25">
      <c r="A29" s="10">
        <v>46206</v>
      </c>
      <c r="B29" t="s">
        <v>188</v>
      </c>
      <c r="C29" t="s">
        <v>101</v>
      </c>
      <c r="E29" t="s">
        <v>163</v>
      </c>
      <c r="F29" s="11">
        <f>IF(E29="Pass",IFERROR(INDEX(Config!$F$4:$F$5,MATCH(C29,Config!$E$4:$E$5,0)),0),0)</f>
        <v>30</v>
      </c>
      <c r="G29" s="12"/>
      <c r="H29" s="12" t="str">
        <f>IF(C29="Forecasting",IFERROR(INDEX(Config!$B$4:$B$6,MATCH(D29,Config!$A$4:$A$6,0)),""),"")</f>
        <v/>
      </c>
      <c r="I29" s="13">
        <f>IF(C29&lt;&gt;"Forecasting",0,IF(G29="",0,IF(ROUND(G29,4)&gt;=ROUND(H29,4),INDEX(Config!$G$4:$G$5,MATCH(C29,Config!$E$4:$E$5,0)),IF(ROUND(G29,4)&gt;=ROUND(H29-INDEX(Config!$C$4:$C$6,MATCH(D29,Config!$A$4:$A$6,0)),4),MAX(1,((G29-(H29-INDEX(Config!$C$4:$C$6,MATCH(D29,Config!$A$4:$A$6,0))))/INDEX(Config!$C$4:$C$6,MATCH(D29,Config!$A$4:$A$6,0)))*INDEX(Config!$G$4:$G$5,MATCH(C29,Config!$E$4:$E$5,0))),0))))</f>
        <v>0</v>
      </c>
      <c r="J29" s="13">
        <f t="shared" si="0"/>
        <v>0</v>
      </c>
      <c r="K29" s="12">
        <v>0.98</v>
      </c>
      <c r="L29" s="13">
        <f>IF(K29="",0,IF(K29&gt;=Config!$B$12,0,IF(K29&gt;Config!$F$14,INDEX(Config!$H$4:$H$5,MATCH(C29,Config!$E$4:$E$5,0))*Config!$F$11,INDEX(Config!$H$4:$H$5,MATCH(C29,Config!$E$4:$E$5,0)))))</f>
        <v>50</v>
      </c>
      <c r="M29" s="13">
        <f>IF(K29="",0,IF(K29&gt;=Config!$B$12,0,IF(K29&gt;=0.96,0,IF(K29&gt;=0.9,Config!$F$12,Config!$F$13))))</f>
        <v>0</v>
      </c>
      <c r="N29" t="s">
        <v>163</v>
      </c>
      <c r="O29" s="11">
        <f>IF(N29="Pass",IFERROR(INDEX(Config!$I$4:$I$5,MATCH(C29,Config!$E$4:$E$5,0)),0),0)</f>
        <v>20</v>
      </c>
      <c r="P29" s="13">
        <f t="shared" si="1"/>
        <v>100</v>
      </c>
      <c r="Q29" s="11">
        <f t="shared" si="2"/>
        <v>7</v>
      </c>
      <c r="R29" s="11">
        <f t="shared" si="3"/>
        <v>2026</v>
      </c>
    </row>
    <row r="30" spans="1:18" outlineLevel="1" x14ac:dyDescent="0.25">
      <c r="A30" s="10">
        <v>46206</v>
      </c>
      <c r="B30" t="s">
        <v>189</v>
      </c>
      <c r="C30" t="s">
        <v>101</v>
      </c>
      <c r="E30" t="s">
        <v>163</v>
      </c>
      <c r="F30" s="11">
        <f>IF(E30="Pass",IFERROR(INDEX(Config!$F$4:$F$5,MATCH(C30,Config!$E$4:$E$5,0)),0),0)</f>
        <v>30</v>
      </c>
      <c r="G30" s="12"/>
      <c r="H30" s="12" t="str">
        <f>IF(C30="Forecasting",IFERROR(INDEX(Config!$B$4:$B$6,MATCH(D30,Config!$A$4:$A$6,0)),""),"")</f>
        <v/>
      </c>
      <c r="I30" s="13">
        <f>IF(C30&lt;&gt;"Forecasting",0,IF(G30="",0,IF(ROUND(G30,4)&gt;=ROUND(H30,4),INDEX(Config!$G$4:$G$5,MATCH(C30,Config!$E$4:$E$5,0)),IF(ROUND(G30,4)&gt;=ROUND(H30-INDEX(Config!$C$4:$C$6,MATCH(D30,Config!$A$4:$A$6,0)),4),MAX(1,((G30-(H30-INDEX(Config!$C$4:$C$6,MATCH(D30,Config!$A$4:$A$6,0))))/INDEX(Config!$C$4:$C$6,MATCH(D30,Config!$A$4:$A$6,0)))*INDEX(Config!$G$4:$G$5,MATCH(C30,Config!$E$4:$E$5,0))),0))))</f>
        <v>0</v>
      </c>
      <c r="J30" s="13">
        <f t="shared" si="0"/>
        <v>0</v>
      </c>
      <c r="K30" s="12">
        <v>0.97</v>
      </c>
      <c r="L30" s="13">
        <f>IF(K30="",0,IF(K30&gt;=Config!$B$12,0,IF(K30&gt;Config!$F$14,INDEX(Config!$H$4:$H$5,MATCH(C30,Config!$E$4:$E$5,0))*Config!$F$11,INDEX(Config!$H$4:$H$5,MATCH(C30,Config!$E$4:$E$5,0)))))</f>
        <v>50</v>
      </c>
      <c r="M30" s="13">
        <f>IF(K30="",0,IF(K30&gt;=Config!$B$12,0,IF(K30&gt;=0.96,0,IF(K30&gt;=0.9,Config!$F$12,Config!$F$13))))</f>
        <v>0</v>
      </c>
      <c r="N30" t="s">
        <v>163</v>
      </c>
      <c r="O30" s="11">
        <f>IF(N30="Pass",IFERROR(INDEX(Config!$I$4:$I$5,MATCH(C30,Config!$E$4:$E$5,0)),0),0)</f>
        <v>20</v>
      </c>
      <c r="P30" s="13">
        <f t="shared" si="1"/>
        <v>100</v>
      </c>
      <c r="Q30" s="11">
        <f t="shared" si="2"/>
        <v>7</v>
      </c>
      <c r="R30" s="11">
        <f t="shared" si="3"/>
        <v>2026</v>
      </c>
    </row>
    <row r="31" spans="1:18" x14ac:dyDescent="0.25">
      <c r="A31" s="10">
        <v>46213</v>
      </c>
      <c r="B31" t="s">
        <v>160</v>
      </c>
      <c r="C31" t="s">
        <v>100</v>
      </c>
      <c r="D31" t="s">
        <v>82</v>
      </c>
      <c r="E31" t="s">
        <v>163</v>
      </c>
      <c r="F31" s="11">
        <f>IF(E31="Pass",IFERROR(INDEX(Config!$F$4:$F$5,MATCH(C31,Config!$E$4:$E$5,0)),0),0)</f>
        <v>30</v>
      </c>
      <c r="G31" s="12">
        <v>0.93</v>
      </c>
      <c r="H31" s="12">
        <f>IF(C31="Forecasting",IFERROR(INDEX(Config!$B$4:$B$6,MATCH(D31,Config!$A$4:$A$6,0)),""),"")</f>
        <v>0.95</v>
      </c>
      <c r="I31" s="13">
        <f>IF(C31&lt;&gt;"Forecasting",0,IF(G31="",0,IF(ROUND(G31,4)&gt;=ROUND(H31,4),INDEX(Config!$G$4:$G$5,MATCH(C31,Config!$E$4:$E$5,0)),IF(ROUND(G31,4)&gt;=ROUND(H31-INDEX(Config!$C$4:$C$6,MATCH(D31,Config!$A$4:$A$6,0)),4),MAX(1,((G31-(H31-INDEX(Config!$C$4:$C$6,MATCH(D31,Config!$A$4:$A$6,0))))/INDEX(Config!$C$4:$C$6,MATCH(D31,Config!$A$4:$A$6,0)))*INDEX(Config!$G$4:$G$5,MATCH(C31,Config!$E$4:$E$5,0))),0))))</f>
        <v>10.000000000000121</v>
      </c>
      <c r="J31" s="13">
        <f t="shared" si="0"/>
        <v>0</v>
      </c>
      <c r="K31" s="12">
        <v>0.77</v>
      </c>
      <c r="L31" s="13">
        <f>IF(K31="",0,IF(K31&gt;=Config!$B$12,0,IF(K31&gt;Config!$F$14,INDEX(Config!$H$4:$H$5,MATCH(C31,Config!$E$4:$E$5,0))*Config!$F$11,INDEX(Config!$H$4:$H$5,MATCH(C31,Config!$E$4:$E$5,0)))))</f>
        <v>30</v>
      </c>
      <c r="M31" s="13">
        <f>IF(K31="",0,IF(K31&gt;=Config!$B$12,0,IF(K31&gt;=0.96,0,IF(K31&gt;=0.9,Config!$F$12,Config!$F$13))))</f>
        <v>3</v>
      </c>
      <c r="N31" t="s">
        <v>161</v>
      </c>
      <c r="O31" s="11">
        <f>IF(N31="Pass",IFERROR(INDEX(Config!$I$4:$I$5,MATCH(C31,Config!$E$4:$E$5,0)),0),0)</f>
        <v>0</v>
      </c>
      <c r="P31" s="13">
        <f t="shared" si="1"/>
        <v>73.000000000000114</v>
      </c>
      <c r="Q31" s="11">
        <f t="shared" si="2"/>
        <v>7</v>
      </c>
      <c r="R31" s="11">
        <f t="shared" si="3"/>
        <v>2026</v>
      </c>
    </row>
    <row r="32" spans="1:18" x14ac:dyDescent="0.25">
      <c r="A32" s="10">
        <v>46213</v>
      </c>
      <c r="B32" t="s">
        <v>162</v>
      </c>
      <c r="C32" t="s">
        <v>100</v>
      </c>
      <c r="D32" t="s">
        <v>86</v>
      </c>
      <c r="E32" t="s">
        <v>163</v>
      </c>
      <c r="F32" s="11">
        <f>IF(E32="Pass",IFERROR(INDEX(Config!$F$4:$F$5,MATCH(C32,Config!$E$4:$E$5,0)),0),0)</f>
        <v>30</v>
      </c>
      <c r="G32" s="12">
        <v>0.78</v>
      </c>
      <c r="H32" s="12">
        <f>IF(C32="Forecasting",IFERROR(INDEX(Config!$B$4:$B$6,MATCH(D32,Config!$A$4:$A$6,0)),""),"")</f>
        <v>0.75</v>
      </c>
      <c r="I32" s="13">
        <f>IF(C32&lt;&gt;"Forecasting",0,IF(G32="",0,IF(ROUND(G32,4)&gt;=ROUND(H32,4),INDEX(Config!$G$4:$G$5,MATCH(C32,Config!$E$4:$E$5,0)),IF(ROUND(G32,4)&gt;=ROUND(H32-INDEX(Config!$C$4:$C$6,MATCH(D32,Config!$A$4:$A$6,0)),4),MAX(1,((G32-(H32-INDEX(Config!$C$4:$C$6,MATCH(D32,Config!$A$4:$A$6,0))))/INDEX(Config!$C$4:$C$6,MATCH(D32,Config!$A$4:$A$6,0)))*INDEX(Config!$G$4:$G$5,MATCH(C32,Config!$E$4:$E$5,0))),0))))</f>
        <v>30</v>
      </c>
      <c r="J32" s="13">
        <f t="shared" si="0"/>
        <v>0.60000000000000053</v>
      </c>
      <c r="K32" s="12">
        <v>0.84</v>
      </c>
      <c r="L32" s="13">
        <f>IF(K32="",0,IF(K32&gt;=Config!$B$12,0,IF(K32&gt;Config!$F$14,INDEX(Config!$H$4:$H$5,MATCH(C32,Config!$E$4:$E$5,0))*Config!$F$11,INDEX(Config!$H$4:$H$5,MATCH(C32,Config!$E$4:$E$5,0)))))</f>
        <v>30</v>
      </c>
      <c r="M32" s="13">
        <f>IF(K32="",0,IF(K32&gt;=Config!$B$12,0,IF(K32&gt;=0.96,0,IF(K32&gt;=0.9,Config!$F$12,Config!$F$13))))</f>
        <v>3</v>
      </c>
      <c r="N32" t="s">
        <v>163</v>
      </c>
      <c r="O32" s="11">
        <f>IF(N32="Pass",IFERROR(INDEX(Config!$I$4:$I$5,MATCH(C32,Config!$E$4:$E$5,0)),0),0)</f>
        <v>10</v>
      </c>
      <c r="P32" s="13">
        <f t="shared" si="1"/>
        <v>103.6</v>
      </c>
      <c r="Q32" s="11">
        <f t="shared" si="2"/>
        <v>7</v>
      </c>
      <c r="R32" s="11">
        <f t="shared" si="3"/>
        <v>2026</v>
      </c>
    </row>
    <row r="33" spans="1:18" x14ac:dyDescent="0.25">
      <c r="A33" s="10">
        <v>46213</v>
      </c>
      <c r="B33" t="s">
        <v>164</v>
      </c>
      <c r="C33" t="s">
        <v>100</v>
      </c>
      <c r="D33" t="s">
        <v>86</v>
      </c>
      <c r="E33" t="s">
        <v>163</v>
      </c>
      <c r="F33" s="11">
        <f>IF(E33="Pass",IFERROR(INDEX(Config!$F$4:$F$5,MATCH(C33,Config!$E$4:$E$5,0)),0),0)</f>
        <v>30</v>
      </c>
      <c r="G33" s="12">
        <v>0.8</v>
      </c>
      <c r="H33" s="12">
        <f>IF(C33="Forecasting",IFERROR(INDEX(Config!$B$4:$B$6,MATCH(D33,Config!$A$4:$A$6,0)),""),"")</f>
        <v>0.75</v>
      </c>
      <c r="I33" s="13">
        <f>IF(C33&lt;&gt;"Forecasting",0,IF(G33="",0,IF(ROUND(G33,4)&gt;=ROUND(H33,4),INDEX(Config!$G$4:$G$5,MATCH(C33,Config!$E$4:$E$5,0)),IF(ROUND(G33,4)&gt;=ROUND(H33-INDEX(Config!$C$4:$C$6,MATCH(D33,Config!$A$4:$A$6,0)),4),MAX(1,((G33-(H33-INDEX(Config!$C$4:$C$6,MATCH(D33,Config!$A$4:$A$6,0))))/INDEX(Config!$C$4:$C$6,MATCH(D33,Config!$A$4:$A$6,0)))*INDEX(Config!$G$4:$G$5,MATCH(C33,Config!$E$4:$E$5,0))),0))))</f>
        <v>30</v>
      </c>
      <c r="J33" s="13">
        <f t="shared" si="0"/>
        <v>1.0000000000000009</v>
      </c>
      <c r="K33" s="12">
        <v>0.78</v>
      </c>
      <c r="L33" s="13">
        <f>IF(K33="",0,IF(K33&gt;=Config!$B$12,0,IF(K33&gt;Config!$F$14,INDEX(Config!$H$4:$H$5,MATCH(C33,Config!$E$4:$E$5,0))*Config!$F$11,INDEX(Config!$H$4:$H$5,MATCH(C33,Config!$E$4:$E$5,0)))))</f>
        <v>30</v>
      </c>
      <c r="M33" s="13">
        <f>IF(K33="",0,IF(K33&gt;=Config!$B$12,0,IF(K33&gt;=0.96,0,IF(K33&gt;=0.9,Config!$F$12,Config!$F$13))))</f>
        <v>3</v>
      </c>
      <c r="N33" t="s">
        <v>163</v>
      </c>
      <c r="O33" s="11">
        <f>IF(N33="Pass",IFERROR(INDEX(Config!$I$4:$I$5,MATCH(C33,Config!$E$4:$E$5,0)),0),0)</f>
        <v>10</v>
      </c>
      <c r="P33" s="13">
        <f t="shared" si="1"/>
        <v>104</v>
      </c>
      <c r="Q33" s="11">
        <f t="shared" si="2"/>
        <v>7</v>
      </c>
      <c r="R33" s="11">
        <f t="shared" si="3"/>
        <v>2026</v>
      </c>
    </row>
    <row r="34" spans="1:18" x14ac:dyDescent="0.25">
      <c r="A34" s="10">
        <v>46213</v>
      </c>
      <c r="B34" t="s">
        <v>165</v>
      </c>
      <c r="C34" t="s">
        <v>100</v>
      </c>
      <c r="D34" t="s">
        <v>86</v>
      </c>
      <c r="E34" t="s">
        <v>163</v>
      </c>
      <c r="F34" s="11">
        <f>IF(E34="Pass",IFERROR(INDEX(Config!$F$4:$F$5,MATCH(C34,Config!$E$4:$E$5,0)),0),0)</f>
        <v>30</v>
      </c>
      <c r="G34" s="12">
        <v>0.85</v>
      </c>
      <c r="H34" s="12">
        <f>IF(C34="Forecasting",IFERROR(INDEX(Config!$B$4:$B$6,MATCH(D34,Config!$A$4:$A$6,0)),""),"")</f>
        <v>0.75</v>
      </c>
      <c r="I34" s="13">
        <f>IF(C34&lt;&gt;"Forecasting",0,IF(G34="",0,IF(ROUND(G34,4)&gt;=ROUND(H34,4),INDEX(Config!$G$4:$G$5,MATCH(C34,Config!$E$4:$E$5,0)),IF(ROUND(G34,4)&gt;=ROUND(H34-INDEX(Config!$C$4:$C$6,MATCH(D34,Config!$A$4:$A$6,0)),4),MAX(1,((G34-(H34-INDEX(Config!$C$4:$C$6,MATCH(D34,Config!$A$4:$A$6,0))))/INDEX(Config!$C$4:$C$6,MATCH(D34,Config!$A$4:$A$6,0)))*INDEX(Config!$G$4:$G$5,MATCH(C34,Config!$E$4:$E$5,0))),0))))</f>
        <v>30</v>
      </c>
      <c r="J34" s="13">
        <f t="shared" si="0"/>
        <v>1.9999999999999996</v>
      </c>
      <c r="K34" s="12">
        <v>0.53</v>
      </c>
      <c r="L34" s="13">
        <f>IF(K34="",0,IF(K34&gt;=Config!$B$12,0,IF(K34&gt;Config!$F$14,INDEX(Config!$H$4:$H$5,MATCH(C34,Config!$E$4:$E$5,0))*Config!$F$11,INDEX(Config!$H$4:$H$5,MATCH(C34,Config!$E$4:$E$5,0)))))</f>
        <v>30</v>
      </c>
      <c r="M34" s="13">
        <f>IF(K34="",0,IF(K34&gt;=Config!$B$12,0,IF(K34&gt;=0.96,0,IF(K34&gt;=0.9,Config!$F$12,Config!$F$13))))</f>
        <v>3</v>
      </c>
      <c r="N34" t="s">
        <v>163</v>
      </c>
      <c r="O34" s="11">
        <f>IF(N34="Pass",IFERROR(INDEX(Config!$I$4:$I$5,MATCH(C34,Config!$E$4:$E$5,0)),0),0)</f>
        <v>10</v>
      </c>
      <c r="P34" s="13">
        <f t="shared" si="1"/>
        <v>105</v>
      </c>
      <c r="Q34" s="11">
        <f t="shared" si="2"/>
        <v>7</v>
      </c>
      <c r="R34" s="11">
        <f t="shared" si="3"/>
        <v>2026</v>
      </c>
    </row>
    <row r="35" spans="1:18" x14ac:dyDescent="0.25">
      <c r="A35" s="10">
        <v>46213</v>
      </c>
      <c r="B35" t="s">
        <v>166</v>
      </c>
      <c r="C35" t="s">
        <v>100</v>
      </c>
      <c r="D35" t="s">
        <v>46</v>
      </c>
      <c r="E35" t="s">
        <v>163</v>
      </c>
      <c r="F35" s="11">
        <f>IF(E35="Pass",IFERROR(INDEX(Config!$F$4:$F$5,MATCH(C35,Config!$E$4:$E$5,0)),0),0)</f>
        <v>30</v>
      </c>
      <c r="G35" s="12">
        <v>0.73</v>
      </c>
      <c r="H35" s="12">
        <f>IF(C35="Forecasting",IFERROR(INDEX(Config!$B$4:$B$6,MATCH(D35,Config!$A$4:$A$6,0)),""),"")</f>
        <v>0.85</v>
      </c>
      <c r="I35" s="13">
        <f>IF(C35&lt;&gt;"Forecasting",0,IF(G35="",0,IF(ROUND(G35,4)&gt;=ROUND(H35,4),INDEX(Config!$G$4:$G$5,MATCH(C35,Config!$E$4:$E$5,0)),IF(ROUND(G35,4)&gt;=ROUND(H35-INDEX(Config!$C$4:$C$6,MATCH(D35,Config!$A$4:$A$6,0)),4),MAX(1,((G35-(H35-INDEX(Config!$C$4:$C$6,MATCH(D35,Config!$A$4:$A$6,0))))/INDEX(Config!$C$4:$C$6,MATCH(D35,Config!$A$4:$A$6,0)))*INDEX(Config!$G$4:$G$5,MATCH(C35,Config!$E$4:$E$5,0))),0))))</f>
        <v>0</v>
      </c>
      <c r="J35" s="13">
        <f t="shared" si="0"/>
        <v>0</v>
      </c>
      <c r="K35" s="12">
        <v>0.79</v>
      </c>
      <c r="L35" s="13">
        <f>IF(K35="",0,IF(K35&gt;=Config!$B$12,0,IF(K35&gt;Config!$F$14,INDEX(Config!$H$4:$H$5,MATCH(C35,Config!$E$4:$E$5,0))*Config!$F$11,INDEX(Config!$H$4:$H$5,MATCH(C35,Config!$E$4:$E$5,0)))))</f>
        <v>30</v>
      </c>
      <c r="M35" s="13">
        <f>IF(K35="",0,IF(K35&gt;=Config!$B$12,0,IF(K35&gt;=0.96,0,IF(K35&gt;=0.9,Config!$F$12,Config!$F$13))))</f>
        <v>3</v>
      </c>
      <c r="N35" t="s">
        <v>163</v>
      </c>
      <c r="O35" s="11">
        <f>IF(N35="Pass",IFERROR(INDEX(Config!$I$4:$I$5,MATCH(C35,Config!$E$4:$E$5,0)),0),0)</f>
        <v>10</v>
      </c>
      <c r="P35" s="13">
        <f t="shared" si="1"/>
        <v>73</v>
      </c>
      <c r="Q35" s="11">
        <f t="shared" si="2"/>
        <v>7</v>
      </c>
      <c r="R35" s="11">
        <f t="shared" si="3"/>
        <v>2026</v>
      </c>
    </row>
    <row r="36" spans="1:18" x14ac:dyDescent="0.25">
      <c r="A36" s="10">
        <v>46213</v>
      </c>
      <c r="B36" t="s">
        <v>167</v>
      </c>
      <c r="C36" t="s">
        <v>100</v>
      </c>
      <c r="D36" t="s">
        <v>86</v>
      </c>
      <c r="E36" t="s">
        <v>163</v>
      </c>
      <c r="F36" s="11">
        <f>IF(E36="Pass",IFERROR(INDEX(Config!$F$4:$F$5,MATCH(C36,Config!$E$4:$E$5,0)),0),0)</f>
        <v>30</v>
      </c>
      <c r="G36" s="12">
        <v>0.78</v>
      </c>
      <c r="H36" s="12">
        <f>IF(C36="Forecasting",IFERROR(INDEX(Config!$B$4:$B$6,MATCH(D36,Config!$A$4:$A$6,0)),""),"")</f>
        <v>0.75</v>
      </c>
      <c r="I36" s="13">
        <f>IF(C36&lt;&gt;"Forecasting",0,IF(G36="",0,IF(ROUND(G36,4)&gt;=ROUND(H36,4),INDEX(Config!$G$4:$G$5,MATCH(C36,Config!$E$4:$E$5,0)),IF(ROUND(G36,4)&gt;=ROUND(H36-INDEX(Config!$C$4:$C$6,MATCH(D36,Config!$A$4:$A$6,0)),4),MAX(1,((G36-(H36-INDEX(Config!$C$4:$C$6,MATCH(D36,Config!$A$4:$A$6,0))))/INDEX(Config!$C$4:$C$6,MATCH(D36,Config!$A$4:$A$6,0)))*INDEX(Config!$G$4:$G$5,MATCH(C36,Config!$E$4:$E$5,0))),0))))</f>
        <v>30</v>
      </c>
      <c r="J36" s="13">
        <f t="shared" si="0"/>
        <v>0.60000000000000053</v>
      </c>
      <c r="K36" s="12">
        <v>0.85</v>
      </c>
      <c r="L36" s="13">
        <f>IF(K36="",0,IF(K36&gt;=Config!$B$12,0,IF(K36&gt;Config!$F$14,INDEX(Config!$H$4:$H$5,MATCH(C36,Config!$E$4:$E$5,0))*Config!$F$11,INDEX(Config!$H$4:$H$5,MATCH(C36,Config!$E$4:$E$5,0)))))</f>
        <v>30</v>
      </c>
      <c r="M36" s="13">
        <f>IF(K36="",0,IF(K36&gt;=Config!$B$12,0,IF(K36&gt;=0.96,0,IF(K36&gt;=0.9,Config!$F$12,Config!$F$13))))</f>
        <v>3</v>
      </c>
      <c r="N36" t="s">
        <v>163</v>
      </c>
      <c r="O36" s="11">
        <f>IF(N36="Pass",IFERROR(INDEX(Config!$I$4:$I$5,MATCH(C36,Config!$E$4:$E$5,0)),0),0)</f>
        <v>10</v>
      </c>
      <c r="P36" s="13">
        <f t="shared" si="1"/>
        <v>103.6</v>
      </c>
      <c r="Q36" s="11">
        <f t="shared" si="2"/>
        <v>7</v>
      </c>
      <c r="R36" s="11">
        <f t="shared" si="3"/>
        <v>2026</v>
      </c>
    </row>
    <row r="37" spans="1:18" x14ac:dyDescent="0.25">
      <c r="A37" s="10">
        <v>46213</v>
      </c>
      <c r="B37" t="s">
        <v>168</v>
      </c>
      <c r="C37" t="s">
        <v>100</v>
      </c>
      <c r="D37" t="s">
        <v>86</v>
      </c>
      <c r="E37" t="s">
        <v>163</v>
      </c>
      <c r="F37" s="11">
        <f>IF(E37="Pass",IFERROR(INDEX(Config!$F$4:$F$5,MATCH(C37,Config!$E$4:$E$5,0)),0),0)</f>
        <v>30</v>
      </c>
      <c r="G37" s="12">
        <v>0.7</v>
      </c>
      <c r="H37" s="12">
        <f>IF(C37="Forecasting",IFERROR(INDEX(Config!$B$4:$B$6,MATCH(D37,Config!$A$4:$A$6,0)),""),"")</f>
        <v>0.75</v>
      </c>
      <c r="I37" s="13">
        <f>IF(C37&lt;&gt;"Forecasting",0,IF(G37="",0,IF(ROUND(G37,4)&gt;=ROUND(H37,4),INDEX(Config!$G$4:$G$5,MATCH(C37,Config!$E$4:$E$5,0)),IF(ROUND(G37,4)&gt;=ROUND(H37-INDEX(Config!$C$4:$C$6,MATCH(D37,Config!$A$4:$A$6,0)),4),MAX(1,((G37-(H37-INDEX(Config!$C$4:$C$6,MATCH(D37,Config!$A$4:$A$6,0))))/INDEX(Config!$C$4:$C$6,MATCH(D37,Config!$A$4:$A$6,0)))*INDEX(Config!$G$4:$G$5,MATCH(C37,Config!$E$4:$E$5,0))),0))))</f>
        <v>1</v>
      </c>
      <c r="J37" s="13">
        <f t="shared" si="0"/>
        <v>0</v>
      </c>
      <c r="K37" s="12">
        <v>1.07</v>
      </c>
      <c r="L37" s="13">
        <f>IF(K37="",0,IF(K37&gt;=Config!$B$12,0,IF(K37&gt;Config!$F$14,INDEX(Config!$H$4:$H$5,MATCH(C37,Config!$E$4:$E$5,0))*Config!$F$11,INDEX(Config!$H$4:$H$5,MATCH(C37,Config!$E$4:$E$5,0)))))</f>
        <v>0</v>
      </c>
      <c r="M37" s="13">
        <f>IF(K37="",0,IF(K37&gt;=Config!$B$12,0,IF(K37&gt;=0.96,0,IF(K37&gt;=0.9,Config!$F$12,Config!$F$13))))</f>
        <v>0</v>
      </c>
      <c r="N37" t="s">
        <v>161</v>
      </c>
      <c r="O37" s="11">
        <f>IF(N37="Pass",IFERROR(INDEX(Config!$I$4:$I$5,MATCH(C37,Config!$E$4:$E$5,0)),0),0)</f>
        <v>0</v>
      </c>
      <c r="P37" s="13">
        <f t="shared" si="1"/>
        <v>31</v>
      </c>
      <c r="Q37" s="11">
        <f t="shared" si="2"/>
        <v>7</v>
      </c>
      <c r="R37" s="11">
        <f t="shared" si="3"/>
        <v>2026</v>
      </c>
    </row>
    <row r="38" spans="1:18" x14ac:dyDescent="0.25">
      <c r="A38" s="10">
        <v>46213</v>
      </c>
      <c r="B38" t="s">
        <v>169</v>
      </c>
      <c r="C38" t="s">
        <v>100</v>
      </c>
      <c r="D38" t="s">
        <v>46</v>
      </c>
      <c r="E38" t="s">
        <v>163</v>
      </c>
      <c r="F38" s="11">
        <f>IF(E38="Pass",IFERROR(INDEX(Config!$F$4:$F$5,MATCH(C38,Config!$E$4:$E$5,0)),0),0)</f>
        <v>30</v>
      </c>
      <c r="G38" s="12">
        <v>0.64</v>
      </c>
      <c r="H38" s="12">
        <f>IF(C38="Forecasting",IFERROR(INDEX(Config!$B$4:$B$6,MATCH(D38,Config!$A$4:$A$6,0)),""),"")</f>
        <v>0.85</v>
      </c>
      <c r="I38" s="13">
        <f>IF(C38&lt;&gt;"Forecasting",0,IF(G38="",0,IF(ROUND(G38,4)&gt;=ROUND(H38,4),INDEX(Config!$G$4:$G$5,MATCH(C38,Config!$E$4:$E$5,0)),IF(ROUND(G38,4)&gt;=ROUND(H38-INDEX(Config!$C$4:$C$6,MATCH(D38,Config!$A$4:$A$6,0)),4),MAX(1,((G38-(H38-INDEX(Config!$C$4:$C$6,MATCH(D38,Config!$A$4:$A$6,0))))/INDEX(Config!$C$4:$C$6,MATCH(D38,Config!$A$4:$A$6,0)))*INDEX(Config!$G$4:$G$5,MATCH(C38,Config!$E$4:$E$5,0))),0))))</f>
        <v>0</v>
      </c>
      <c r="J38" s="13">
        <f t="shared" si="0"/>
        <v>0</v>
      </c>
      <c r="K38" s="12">
        <v>0.9</v>
      </c>
      <c r="L38" s="13">
        <f>IF(K38="",0,IF(K38&gt;=Config!$B$12,0,IF(K38&gt;Config!$F$14,INDEX(Config!$H$4:$H$5,MATCH(C38,Config!$E$4:$E$5,0))*Config!$F$11,INDEX(Config!$H$4:$H$5,MATCH(C38,Config!$E$4:$E$5,0)))))</f>
        <v>30</v>
      </c>
      <c r="M38" s="13">
        <f>IF(K38="",0,IF(K38&gt;=Config!$B$12,0,IF(K38&gt;=0.96,0,IF(K38&gt;=0.9,Config!$F$12,Config!$F$13))))</f>
        <v>5</v>
      </c>
      <c r="N38" t="s">
        <v>163</v>
      </c>
      <c r="O38" s="11">
        <f>IF(N38="Pass",IFERROR(INDEX(Config!$I$4:$I$5,MATCH(C38,Config!$E$4:$E$5,0)),0),0)</f>
        <v>10</v>
      </c>
      <c r="P38" s="13">
        <f t="shared" si="1"/>
        <v>75</v>
      </c>
      <c r="Q38" s="11">
        <f t="shared" si="2"/>
        <v>7</v>
      </c>
      <c r="R38" s="11">
        <f t="shared" si="3"/>
        <v>2026</v>
      </c>
    </row>
    <row r="39" spans="1:18" x14ac:dyDescent="0.25">
      <c r="A39" s="10">
        <v>46213</v>
      </c>
      <c r="B39" t="s">
        <v>170</v>
      </c>
      <c r="C39" t="s">
        <v>100</v>
      </c>
      <c r="D39" t="s">
        <v>46</v>
      </c>
      <c r="E39" t="s">
        <v>163</v>
      </c>
      <c r="F39" s="11">
        <f>IF(E39="Pass",IFERROR(INDEX(Config!$F$4:$F$5,MATCH(C39,Config!$E$4:$E$5,0)),0),0)</f>
        <v>30</v>
      </c>
      <c r="G39" s="12">
        <v>0.56999999999999995</v>
      </c>
      <c r="H39" s="12">
        <f>IF(C39="Forecasting",IFERROR(INDEX(Config!$B$4:$B$6,MATCH(D39,Config!$A$4:$A$6,0)),""),"")</f>
        <v>0.85</v>
      </c>
      <c r="I39" s="13">
        <f>IF(C39&lt;&gt;"Forecasting",0,IF(G39="",0,IF(ROUND(G39,4)&gt;=ROUND(H39,4),INDEX(Config!$G$4:$G$5,MATCH(C39,Config!$E$4:$E$5,0)),IF(ROUND(G39,4)&gt;=ROUND(H39-INDEX(Config!$C$4:$C$6,MATCH(D39,Config!$A$4:$A$6,0)),4),MAX(1,((G39-(H39-INDEX(Config!$C$4:$C$6,MATCH(D39,Config!$A$4:$A$6,0))))/INDEX(Config!$C$4:$C$6,MATCH(D39,Config!$A$4:$A$6,0)))*INDEX(Config!$G$4:$G$5,MATCH(C39,Config!$E$4:$E$5,0))),0))))</f>
        <v>0</v>
      </c>
      <c r="J39" s="13">
        <f t="shared" si="0"/>
        <v>0</v>
      </c>
      <c r="K39" s="12">
        <v>1.07</v>
      </c>
      <c r="L39" s="13">
        <f>IF(K39="",0,IF(K39&gt;=Config!$B$12,0,IF(K39&gt;Config!$F$14,INDEX(Config!$H$4:$H$5,MATCH(C39,Config!$E$4:$E$5,0))*Config!$F$11,INDEX(Config!$H$4:$H$5,MATCH(C39,Config!$E$4:$E$5,0)))))</f>
        <v>0</v>
      </c>
      <c r="M39" s="13">
        <f>IF(K39="",0,IF(K39&gt;=Config!$B$12,0,IF(K39&gt;=0.96,0,IF(K39&gt;=0.9,Config!$F$12,Config!$F$13))))</f>
        <v>0</v>
      </c>
      <c r="N39" t="s">
        <v>163</v>
      </c>
      <c r="O39" s="11">
        <f>IF(N39="Pass",IFERROR(INDEX(Config!$I$4:$I$5,MATCH(C39,Config!$E$4:$E$5,0)),0),0)</f>
        <v>10</v>
      </c>
      <c r="P39" s="13">
        <f t="shared" si="1"/>
        <v>40</v>
      </c>
      <c r="Q39" s="11">
        <f t="shared" si="2"/>
        <v>7</v>
      </c>
      <c r="R39" s="11">
        <f t="shared" si="3"/>
        <v>2026</v>
      </c>
    </row>
    <row r="40" spans="1:18" x14ac:dyDescent="0.25">
      <c r="A40" s="10">
        <v>46213</v>
      </c>
      <c r="B40" t="s">
        <v>171</v>
      </c>
      <c r="C40" t="s">
        <v>100</v>
      </c>
      <c r="D40" t="s">
        <v>86</v>
      </c>
      <c r="E40" t="s">
        <v>163</v>
      </c>
      <c r="F40" s="11">
        <f>IF(E40="Pass",IFERROR(INDEX(Config!$F$4:$F$5,MATCH(C40,Config!$E$4:$E$5,0)),0),0)</f>
        <v>30</v>
      </c>
      <c r="G40" s="12">
        <v>0.66</v>
      </c>
      <c r="H40" s="12">
        <f>IF(C40="Forecasting",IFERROR(INDEX(Config!$B$4:$B$6,MATCH(D40,Config!$A$4:$A$6,0)),""),"")</f>
        <v>0.75</v>
      </c>
      <c r="I40" s="13">
        <f>IF(C40&lt;&gt;"Forecasting",0,IF(G40="",0,IF(ROUND(G40,4)&gt;=ROUND(H40,4),INDEX(Config!$G$4:$G$5,MATCH(C40,Config!$E$4:$E$5,0)),IF(ROUND(G40,4)&gt;=ROUND(H40-INDEX(Config!$C$4:$C$6,MATCH(D40,Config!$A$4:$A$6,0)),4),MAX(1,((G40-(H40-INDEX(Config!$C$4:$C$6,MATCH(D40,Config!$A$4:$A$6,0))))/INDEX(Config!$C$4:$C$6,MATCH(D40,Config!$A$4:$A$6,0)))*INDEX(Config!$G$4:$G$5,MATCH(C40,Config!$E$4:$E$5,0))),0))))</f>
        <v>0</v>
      </c>
      <c r="J40" s="13">
        <f t="shared" si="0"/>
        <v>0</v>
      </c>
      <c r="K40" s="12">
        <v>0.89</v>
      </c>
      <c r="L40" s="13">
        <f>IF(K40="",0,IF(K40&gt;=Config!$B$12,0,IF(K40&gt;Config!$F$14,INDEX(Config!$H$4:$H$5,MATCH(C40,Config!$E$4:$E$5,0))*Config!$F$11,INDEX(Config!$H$4:$H$5,MATCH(C40,Config!$E$4:$E$5,0)))))</f>
        <v>30</v>
      </c>
      <c r="M40" s="13">
        <f>IF(K40="",0,IF(K40&gt;=Config!$B$12,0,IF(K40&gt;=0.96,0,IF(K40&gt;=0.9,Config!$F$12,Config!$F$13))))</f>
        <v>3</v>
      </c>
      <c r="N40" t="s">
        <v>161</v>
      </c>
      <c r="O40" s="11">
        <f>IF(N40="Pass",IFERROR(INDEX(Config!$I$4:$I$5,MATCH(C40,Config!$E$4:$E$5,0)),0),0)</f>
        <v>0</v>
      </c>
      <c r="P40" s="13">
        <f t="shared" si="1"/>
        <v>63</v>
      </c>
      <c r="Q40" s="11">
        <f t="shared" si="2"/>
        <v>7</v>
      </c>
      <c r="R40" s="11">
        <f t="shared" si="3"/>
        <v>2026</v>
      </c>
    </row>
    <row r="41" spans="1:18" x14ac:dyDescent="0.25">
      <c r="A41" s="10">
        <v>46213</v>
      </c>
      <c r="B41" t="s">
        <v>172</v>
      </c>
      <c r="C41" t="s">
        <v>100</v>
      </c>
      <c r="D41" t="s">
        <v>86</v>
      </c>
      <c r="E41" t="s">
        <v>163</v>
      </c>
      <c r="F41" s="11">
        <f>IF(E41="Pass",IFERROR(INDEX(Config!$F$4:$F$5,MATCH(C41,Config!$E$4:$E$5,0)),0),0)</f>
        <v>30</v>
      </c>
      <c r="G41" s="12">
        <v>0.8</v>
      </c>
      <c r="H41" s="12">
        <f>IF(C41="Forecasting",IFERROR(INDEX(Config!$B$4:$B$6,MATCH(D41,Config!$A$4:$A$6,0)),""),"")</f>
        <v>0.75</v>
      </c>
      <c r="I41" s="13">
        <f>IF(C41&lt;&gt;"Forecasting",0,IF(G41="",0,IF(ROUND(G41,4)&gt;=ROUND(H41,4),INDEX(Config!$G$4:$G$5,MATCH(C41,Config!$E$4:$E$5,0)),IF(ROUND(G41,4)&gt;=ROUND(H41-INDEX(Config!$C$4:$C$6,MATCH(D41,Config!$A$4:$A$6,0)),4),MAX(1,((G41-(H41-INDEX(Config!$C$4:$C$6,MATCH(D41,Config!$A$4:$A$6,0))))/INDEX(Config!$C$4:$C$6,MATCH(D41,Config!$A$4:$A$6,0)))*INDEX(Config!$G$4:$G$5,MATCH(C41,Config!$E$4:$E$5,0))),0))))</f>
        <v>30</v>
      </c>
      <c r="J41" s="13">
        <f t="shared" si="0"/>
        <v>1.0000000000000009</v>
      </c>
      <c r="K41" s="12">
        <v>1.07</v>
      </c>
      <c r="L41" s="13">
        <f>IF(K41="",0,IF(K41&gt;=Config!$B$12,0,IF(K41&gt;Config!$F$14,INDEX(Config!$H$4:$H$5,MATCH(C41,Config!$E$4:$E$5,0))*Config!$F$11,INDEX(Config!$H$4:$H$5,MATCH(C41,Config!$E$4:$E$5,0)))))</f>
        <v>0</v>
      </c>
      <c r="M41" s="13">
        <f>IF(K41="",0,IF(K41&gt;=Config!$B$12,0,IF(K41&gt;=0.96,0,IF(K41&gt;=0.9,Config!$F$12,Config!$F$13))))</f>
        <v>0</v>
      </c>
      <c r="N41" t="s">
        <v>163</v>
      </c>
      <c r="O41" s="11">
        <f>IF(N41="Pass",IFERROR(INDEX(Config!$I$4:$I$5,MATCH(C41,Config!$E$4:$E$5,0)),0),0)</f>
        <v>10</v>
      </c>
      <c r="P41" s="13">
        <f t="shared" si="1"/>
        <v>71</v>
      </c>
      <c r="Q41" s="11">
        <f t="shared" si="2"/>
        <v>7</v>
      </c>
      <c r="R41" s="11">
        <f t="shared" si="3"/>
        <v>2026</v>
      </c>
    </row>
    <row r="42" spans="1:18" x14ac:dyDescent="0.25">
      <c r="A42" s="10">
        <v>46213</v>
      </c>
      <c r="B42" t="s">
        <v>173</v>
      </c>
      <c r="C42" t="s">
        <v>100</v>
      </c>
      <c r="D42" t="s">
        <v>86</v>
      </c>
      <c r="E42" t="s">
        <v>163</v>
      </c>
      <c r="F42" s="11">
        <f>IF(E42="Pass",IFERROR(INDEX(Config!$F$4:$F$5,MATCH(C42,Config!$E$4:$E$5,0)),0),0)</f>
        <v>30</v>
      </c>
      <c r="G42" s="12">
        <v>0.62</v>
      </c>
      <c r="H42" s="12">
        <f>IF(C42="Forecasting",IFERROR(INDEX(Config!$B$4:$B$6,MATCH(D42,Config!$A$4:$A$6,0)),""),"")</f>
        <v>0.75</v>
      </c>
      <c r="I42" s="13">
        <f>IF(C42&lt;&gt;"Forecasting",0,IF(G42="",0,IF(ROUND(G42,4)&gt;=ROUND(H42,4),INDEX(Config!$G$4:$G$5,MATCH(C42,Config!$E$4:$E$5,0)),IF(ROUND(G42,4)&gt;=ROUND(H42-INDEX(Config!$C$4:$C$6,MATCH(D42,Config!$A$4:$A$6,0)),4),MAX(1,((G42-(H42-INDEX(Config!$C$4:$C$6,MATCH(D42,Config!$A$4:$A$6,0))))/INDEX(Config!$C$4:$C$6,MATCH(D42,Config!$A$4:$A$6,0)))*INDEX(Config!$G$4:$G$5,MATCH(C42,Config!$E$4:$E$5,0))),0))))</f>
        <v>0</v>
      </c>
      <c r="J42" s="13">
        <f t="shared" si="0"/>
        <v>0</v>
      </c>
      <c r="K42" s="12">
        <v>0.9</v>
      </c>
      <c r="L42" s="13">
        <f>IF(K42="",0,IF(K42&gt;=Config!$B$12,0,IF(K42&gt;Config!$F$14,INDEX(Config!$H$4:$H$5,MATCH(C42,Config!$E$4:$E$5,0))*Config!$F$11,INDEX(Config!$H$4:$H$5,MATCH(C42,Config!$E$4:$E$5,0)))))</f>
        <v>30</v>
      </c>
      <c r="M42" s="13">
        <f>IF(K42="",0,IF(K42&gt;=Config!$B$12,0,IF(K42&gt;=0.96,0,IF(K42&gt;=0.9,Config!$F$12,Config!$F$13))))</f>
        <v>5</v>
      </c>
      <c r="N42" t="s">
        <v>163</v>
      </c>
      <c r="O42" s="11">
        <f>IF(N42="Pass",IFERROR(INDEX(Config!$I$4:$I$5,MATCH(C42,Config!$E$4:$E$5,0)),0),0)</f>
        <v>10</v>
      </c>
      <c r="P42" s="13">
        <f t="shared" si="1"/>
        <v>75</v>
      </c>
      <c r="Q42" s="11">
        <f t="shared" si="2"/>
        <v>7</v>
      </c>
      <c r="R42" s="11">
        <f t="shared" si="3"/>
        <v>2026</v>
      </c>
    </row>
    <row r="43" spans="1:18" x14ac:dyDescent="0.25">
      <c r="A43" s="10">
        <v>46213</v>
      </c>
      <c r="B43" t="s">
        <v>174</v>
      </c>
      <c r="C43" t="s">
        <v>101</v>
      </c>
      <c r="E43" t="s">
        <v>163</v>
      </c>
      <c r="F43" s="11">
        <f>IF(E43="Pass",IFERROR(INDEX(Config!$F$4:$F$5,MATCH(C43,Config!$E$4:$E$5,0)),0),0)</f>
        <v>30</v>
      </c>
      <c r="G43" s="12"/>
      <c r="H43" s="12" t="str">
        <f>IF(C43="Forecasting",IFERROR(INDEX(Config!$B$4:$B$6,MATCH(D43,Config!$A$4:$A$6,0)),""),"")</f>
        <v/>
      </c>
      <c r="I43" s="13">
        <f>IF(C43&lt;&gt;"Forecasting",0,IF(G43="",0,IF(ROUND(G43,4)&gt;=ROUND(H43,4),INDEX(Config!$G$4:$G$5,MATCH(C43,Config!$E$4:$E$5,0)),IF(ROUND(G43,4)&gt;=ROUND(H43-INDEX(Config!$C$4:$C$6,MATCH(D43,Config!$A$4:$A$6,0)),4),MAX(1,((G43-(H43-INDEX(Config!$C$4:$C$6,MATCH(D43,Config!$A$4:$A$6,0))))/INDEX(Config!$C$4:$C$6,MATCH(D43,Config!$A$4:$A$6,0)))*INDEX(Config!$G$4:$G$5,MATCH(C43,Config!$E$4:$E$5,0))),0))))</f>
        <v>0</v>
      </c>
      <c r="J43" s="13">
        <f t="shared" si="0"/>
        <v>0</v>
      </c>
      <c r="K43" s="12">
        <v>0.82</v>
      </c>
      <c r="L43" s="13">
        <f>IF(K43="",0,IF(K43&gt;=Config!$B$12,0,IF(K43&gt;Config!$F$14,INDEX(Config!$H$4:$H$5,MATCH(C43,Config!$E$4:$E$5,0))*Config!$F$11,INDEX(Config!$H$4:$H$5,MATCH(C43,Config!$E$4:$E$5,0)))))</f>
        <v>50</v>
      </c>
      <c r="M43" s="13">
        <f>IF(K43="",0,IF(K43&gt;=Config!$B$12,0,IF(K43&gt;=0.96,0,IF(K43&gt;=0.9,Config!$F$12,Config!$F$13))))</f>
        <v>3</v>
      </c>
      <c r="N43" t="s">
        <v>163</v>
      </c>
      <c r="O43" s="11">
        <f>IF(N43="Pass",IFERROR(INDEX(Config!$I$4:$I$5,MATCH(C43,Config!$E$4:$E$5,0)),0),0)</f>
        <v>20</v>
      </c>
      <c r="P43" s="13">
        <f t="shared" si="1"/>
        <v>103</v>
      </c>
      <c r="Q43" s="11">
        <f t="shared" si="2"/>
        <v>7</v>
      </c>
      <c r="R43" s="11">
        <f t="shared" si="3"/>
        <v>2026</v>
      </c>
    </row>
    <row r="44" spans="1:18" x14ac:dyDescent="0.25">
      <c r="A44" s="10">
        <v>46213</v>
      </c>
      <c r="B44" t="s">
        <v>175</v>
      </c>
      <c r="C44" t="s">
        <v>101</v>
      </c>
      <c r="E44" t="s">
        <v>163</v>
      </c>
      <c r="F44" s="11">
        <f>IF(E44="Pass",IFERROR(INDEX(Config!$F$4:$F$5,MATCH(C44,Config!$E$4:$E$5,0)),0),0)</f>
        <v>30</v>
      </c>
      <c r="G44" s="12"/>
      <c r="H44" s="12" t="str">
        <f>IF(C44="Forecasting",IFERROR(INDEX(Config!$B$4:$B$6,MATCH(D44,Config!$A$4:$A$6,0)),""),"")</f>
        <v/>
      </c>
      <c r="I44" s="13">
        <f>IF(C44&lt;&gt;"Forecasting",0,IF(G44="",0,IF(ROUND(G44,4)&gt;=ROUND(H44,4),INDEX(Config!$G$4:$G$5,MATCH(C44,Config!$E$4:$E$5,0)),IF(ROUND(G44,4)&gt;=ROUND(H44-INDEX(Config!$C$4:$C$6,MATCH(D44,Config!$A$4:$A$6,0)),4),MAX(1,((G44-(H44-INDEX(Config!$C$4:$C$6,MATCH(D44,Config!$A$4:$A$6,0))))/INDEX(Config!$C$4:$C$6,MATCH(D44,Config!$A$4:$A$6,0)))*INDEX(Config!$G$4:$G$5,MATCH(C44,Config!$E$4:$E$5,0))),0))))</f>
        <v>0</v>
      </c>
      <c r="J44" s="13">
        <f t="shared" si="0"/>
        <v>0</v>
      </c>
      <c r="K44" s="12">
        <v>0.78</v>
      </c>
      <c r="L44" s="13">
        <f>IF(K44="",0,IF(K44&gt;=Config!$B$12,0,IF(K44&gt;Config!$F$14,INDEX(Config!$H$4:$H$5,MATCH(C44,Config!$E$4:$E$5,0))*Config!$F$11,INDEX(Config!$H$4:$H$5,MATCH(C44,Config!$E$4:$E$5,0)))))</f>
        <v>50</v>
      </c>
      <c r="M44" s="13">
        <f>IF(K44="",0,IF(K44&gt;=Config!$B$12,0,IF(K44&gt;=0.96,0,IF(K44&gt;=0.9,Config!$F$12,Config!$F$13))))</f>
        <v>3</v>
      </c>
      <c r="N44" t="s">
        <v>163</v>
      </c>
      <c r="O44" s="11">
        <f>IF(N44="Pass",IFERROR(INDEX(Config!$I$4:$I$5,MATCH(C44,Config!$E$4:$E$5,0)),0),0)</f>
        <v>20</v>
      </c>
      <c r="P44" s="13">
        <f t="shared" si="1"/>
        <v>103</v>
      </c>
      <c r="Q44" s="11">
        <f t="shared" si="2"/>
        <v>7</v>
      </c>
      <c r="R44" s="11">
        <f t="shared" si="3"/>
        <v>2026</v>
      </c>
    </row>
    <row r="45" spans="1:18" x14ac:dyDescent="0.25">
      <c r="A45" s="10">
        <v>46213</v>
      </c>
      <c r="B45" t="s">
        <v>176</v>
      </c>
      <c r="C45" t="s">
        <v>101</v>
      </c>
      <c r="E45" t="s">
        <v>163</v>
      </c>
      <c r="F45" s="11">
        <f>IF(E45="Pass",IFERROR(INDEX(Config!$F$4:$F$5,MATCH(C45,Config!$E$4:$E$5,0)),0),0)</f>
        <v>30</v>
      </c>
      <c r="G45" s="12"/>
      <c r="H45" s="12" t="str">
        <f>IF(C45="Forecasting",IFERROR(INDEX(Config!$B$4:$B$6,MATCH(D45,Config!$A$4:$A$6,0)),""),"")</f>
        <v/>
      </c>
      <c r="I45" s="13">
        <f>IF(C45&lt;&gt;"Forecasting",0,IF(G45="",0,IF(ROUND(G45,4)&gt;=ROUND(H45,4),INDEX(Config!$G$4:$G$5,MATCH(C45,Config!$E$4:$E$5,0)),IF(ROUND(G45,4)&gt;=ROUND(H45-INDEX(Config!$C$4:$C$6,MATCH(D45,Config!$A$4:$A$6,0)),4),MAX(1,((G45-(H45-INDEX(Config!$C$4:$C$6,MATCH(D45,Config!$A$4:$A$6,0))))/INDEX(Config!$C$4:$C$6,MATCH(D45,Config!$A$4:$A$6,0)))*INDEX(Config!$G$4:$G$5,MATCH(C45,Config!$E$4:$E$5,0))),0))))</f>
        <v>0</v>
      </c>
      <c r="J45" s="13">
        <f t="shared" si="0"/>
        <v>0</v>
      </c>
      <c r="K45" s="12">
        <v>0.8</v>
      </c>
      <c r="L45" s="13">
        <f>IF(K45="",0,IF(K45&gt;=Config!$B$12,0,IF(K45&gt;Config!$F$14,INDEX(Config!$H$4:$H$5,MATCH(C45,Config!$E$4:$E$5,0))*Config!$F$11,INDEX(Config!$H$4:$H$5,MATCH(C45,Config!$E$4:$E$5,0)))))</f>
        <v>50</v>
      </c>
      <c r="M45" s="13">
        <f>IF(K45="",0,IF(K45&gt;=Config!$B$12,0,IF(K45&gt;=0.96,0,IF(K45&gt;=0.9,Config!$F$12,Config!$F$13))))</f>
        <v>3</v>
      </c>
      <c r="N45" t="s">
        <v>163</v>
      </c>
      <c r="O45" s="11">
        <f>IF(N45="Pass",IFERROR(INDEX(Config!$I$4:$I$5,MATCH(C45,Config!$E$4:$E$5,0)),0),0)</f>
        <v>20</v>
      </c>
      <c r="P45" s="13">
        <f t="shared" si="1"/>
        <v>103</v>
      </c>
      <c r="Q45" s="11">
        <f t="shared" si="2"/>
        <v>7</v>
      </c>
      <c r="R45" s="11">
        <f t="shared" si="3"/>
        <v>2026</v>
      </c>
    </row>
    <row r="46" spans="1:18" x14ac:dyDescent="0.25">
      <c r="A46" s="10">
        <v>46213</v>
      </c>
      <c r="B46" t="s">
        <v>177</v>
      </c>
      <c r="C46" t="s">
        <v>101</v>
      </c>
      <c r="E46" t="s">
        <v>163</v>
      </c>
      <c r="F46" s="11">
        <f>IF(E46="Pass",IFERROR(INDEX(Config!$F$4:$F$5,MATCH(C46,Config!$E$4:$E$5,0)),0),0)</f>
        <v>30</v>
      </c>
      <c r="G46" s="12"/>
      <c r="H46" s="12" t="str">
        <f>IF(C46="Forecasting",IFERROR(INDEX(Config!$B$4:$B$6,MATCH(D46,Config!$A$4:$A$6,0)),""),"")</f>
        <v/>
      </c>
      <c r="I46" s="13">
        <f>IF(C46&lt;&gt;"Forecasting",0,IF(G46="",0,IF(ROUND(G46,4)&gt;=ROUND(H46,4),INDEX(Config!$G$4:$G$5,MATCH(C46,Config!$E$4:$E$5,0)),IF(ROUND(G46,4)&gt;=ROUND(H46-INDEX(Config!$C$4:$C$6,MATCH(D46,Config!$A$4:$A$6,0)),4),MAX(1,((G46-(H46-INDEX(Config!$C$4:$C$6,MATCH(D46,Config!$A$4:$A$6,0))))/INDEX(Config!$C$4:$C$6,MATCH(D46,Config!$A$4:$A$6,0)))*INDEX(Config!$G$4:$G$5,MATCH(C46,Config!$E$4:$E$5,0))),0))))</f>
        <v>0</v>
      </c>
      <c r="J46" s="13">
        <f t="shared" si="0"/>
        <v>0</v>
      </c>
      <c r="K46" s="12">
        <v>1.1200000000000001</v>
      </c>
      <c r="L46" s="13">
        <f>IF(K46="",0,IF(K46&gt;=Config!$B$12,0,IF(K46&gt;Config!$F$14,INDEX(Config!$H$4:$H$5,MATCH(C46,Config!$E$4:$E$5,0))*Config!$F$11,INDEX(Config!$H$4:$H$5,MATCH(C46,Config!$E$4:$E$5,0)))))</f>
        <v>0</v>
      </c>
      <c r="M46" s="13">
        <f>IF(K46="",0,IF(K46&gt;=Config!$B$12,0,IF(K46&gt;=0.96,0,IF(K46&gt;=0.9,Config!$F$12,Config!$F$13))))</f>
        <v>0</v>
      </c>
      <c r="N46" t="s">
        <v>163</v>
      </c>
      <c r="O46" s="11">
        <f>IF(N46="Pass",IFERROR(INDEX(Config!$I$4:$I$5,MATCH(C46,Config!$E$4:$E$5,0)),0),0)</f>
        <v>20</v>
      </c>
      <c r="P46" s="13">
        <f t="shared" si="1"/>
        <v>50</v>
      </c>
      <c r="Q46" s="11">
        <f t="shared" si="2"/>
        <v>7</v>
      </c>
      <c r="R46" s="11">
        <f t="shared" si="3"/>
        <v>2026</v>
      </c>
    </row>
    <row r="47" spans="1:18" x14ac:dyDescent="0.25">
      <c r="A47" s="10">
        <v>46213</v>
      </c>
      <c r="B47" t="s">
        <v>178</v>
      </c>
      <c r="C47" t="s">
        <v>101</v>
      </c>
      <c r="E47" t="s">
        <v>163</v>
      </c>
      <c r="F47" s="11">
        <f>IF(E47="Pass",IFERROR(INDEX(Config!$F$4:$F$5,MATCH(C47,Config!$E$4:$E$5,0)),0),0)</f>
        <v>30</v>
      </c>
      <c r="G47" s="12"/>
      <c r="H47" s="12" t="str">
        <f>IF(C47="Forecasting",IFERROR(INDEX(Config!$B$4:$B$6,MATCH(D47,Config!$A$4:$A$6,0)),""),"")</f>
        <v/>
      </c>
      <c r="I47" s="13">
        <f>IF(C47&lt;&gt;"Forecasting",0,IF(G47="",0,IF(ROUND(G47,4)&gt;=ROUND(H47,4),INDEX(Config!$G$4:$G$5,MATCH(C47,Config!$E$4:$E$5,0)),IF(ROUND(G47,4)&gt;=ROUND(H47-INDEX(Config!$C$4:$C$6,MATCH(D47,Config!$A$4:$A$6,0)),4),MAX(1,((G47-(H47-INDEX(Config!$C$4:$C$6,MATCH(D47,Config!$A$4:$A$6,0))))/INDEX(Config!$C$4:$C$6,MATCH(D47,Config!$A$4:$A$6,0)))*INDEX(Config!$G$4:$G$5,MATCH(C47,Config!$E$4:$E$5,0))),0))))</f>
        <v>0</v>
      </c>
      <c r="J47" s="13">
        <f t="shared" si="0"/>
        <v>0</v>
      </c>
      <c r="K47" s="12">
        <v>1</v>
      </c>
      <c r="L47" s="13">
        <f>IF(K47="",0,IF(K47&gt;=Config!$B$12,0,IF(K47&gt;Config!$F$14,INDEX(Config!$H$4:$H$5,MATCH(C47,Config!$E$4:$E$5,0))*Config!$F$11,INDEX(Config!$H$4:$H$5,MATCH(C47,Config!$E$4:$E$5,0)))))</f>
        <v>50</v>
      </c>
      <c r="M47" s="13">
        <f>IF(K47="",0,IF(K47&gt;=Config!$B$12,0,IF(K47&gt;=0.96,0,IF(K47&gt;=0.9,Config!$F$12,Config!$F$13))))</f>
        <v>0</v>
      </c>
      <c r="N47" t="s">
        <v>163</v>
      </c>
      <c r="O47" s="11">
        <f>IF(N47="Pass",IFERROR(INDEX(Config!$I$4:$I$5,MATCH(C47,Config!$E$4:$E$5,0)),0),0)</f>
        <v>20</v>
      </c>
      <c r="P47" s="13">
        <f t="shared" si="1"/>
        <v>100</v>
      </c>
      <c r="Q47" s="11">
        <f t="shared" si="2"/>
        <v>7</v>
      </c>
      <c r="R47" s="11">
        <f t="shared" si="3"/>
        <v>2026</v>
      </c>
    </row>
    <row r="48" spans="1:18" x14ac:dyDescent="0.25">
      <c r="A48" s="10">
        <v>46213</v>
      </c>
      <c r="B48" t="s">
        <v>179</v>
      </c>
      <c r="C48" t="s">
        <v>101</v>
      </c>
      <c r="E48" t="s">
        <v>161</v>
      </c>
      <c r="F48" s="11">
        <f>IF(E48="Pass",IFERROR(INDEX(Config!$F$4:$F$5,MATCH(C48,Config!$E$4:$E$5,0)),0),0)</f>
        <v>0</v>
      </c>
      <c r="G48" s="12"/>
      <c r="H48" s="12" t="str">
        <f>IF(C48="Forecasting",IFERROR(INDEX(Config!$B$4:$B$6,MATCH(D48,Config!$A$4:$A$6,0)),""),"")</f>
        <v/>
      </c>
      <c r="I48" s="13">
        <f>IF(C48&lt;&gt;"Forecasting",0,IF(G48="",0,IF(ROUND(G48,4)&gt;=ROUND(H48,4),INDEX(Config!$G$4:$G$5,MATCH(C48,Config!$E$4:$E$5,0)),IF(ROUND(G48,4)&gt;=ROUND(H48-INDEX(Config!$C$4:$C$6,MATCH(D48,Config!$A$4:$A$6,0)),4),MAX(1,((G48-(H48-INDEX(Config!$C$4:$C$6,MATCH(D48,Config!$A$4:$A$6,0))))/INDEX(Config!$C$4:$C$6,MATCH(D48,Config!$A$4:$A$6,0)))*INDEX(Config!$G$4:$G$5,MATCH(C48,Config!$E$4:$E$5,0))),0))))</f>
        <v>0</v>
      </c>
      <c r="J48" s="13">
        <f t="shared" si="0"/>
        <v>0</v>
      </c>
      <c r="K48" s="12">
        <v>1.0900000000000001</v>
      </c>
      <c r="L48" s="13">
        <f>IF(K48="",0,IF(K48&gt;=Config!$B$12,0,IF(K48&gt;Config!$F$14,INDEX(Config!$H$4:$H$5,MATCH(C48,Config!$E$4:$E$5,0))*Config!$F$11,INDEX(Config!$H$4:$H$5,MATCH(C48,Config!$E$4:$E$5,0)))))</f>
        <v>0</v>
      </c>
      <c r="M48" s="13">
        <f>IF(K48="",0,IF(K48&gt;=Config!$B$12,0,IF(K48&gt;=0.96,0,IF(K48&gt;=0.9,Config!$F$12,Config!$F$13))))</f>
        <v>0</v>
      </c>
      <c r="N48" t="s">
        <v>161</v>
      </c>
      <c r="O48" s="11">
        <f>IF(N48="Pass",IFERROR(INDEX(Config!$I$4:$I$5,MATCH(C48,Config!$E$4:$E$5,0)),0),0)</f>
        <v>0</v>
      </c>
      <c r="P48" s="13">
        <f t="shared" si="1"/>
        <v>0</v>
      </c>
      <c r="Q48" s="11">
        <f t="shared" si="2"/>
        <v>7</v>
      </c>
      <c r="R48" s="11">
        <f t="shared" si="3"/>
        <v>2026</v>
      </c>
    </row>
    <row r="49" spans="1:18" x14ac:dyDescent="0.25">
      <c r="A49" s="10">
        <v>46213</v>
      </c>
      <c r="B49" t="s">
        <v>180</v>
      </c>
      <c r="C49" t="s">
        <v>101</v>
      </c>
      <c r="E49" t="s">
        <v>163</v>
      </c>
      <c r="F49" s="11">
        <f>IF(E49="Pass",IFERROR(INDEX(Config!$F$4:$F$5,MATCH(C49,Config!$E$4:$E$5,0)),0),0)</f>
        <v>30</v>
      </c>
      <c r="G49" s="12"/>
      <c r="H49" s="12" t="str">
        <f>IF(C49="Forecasting",IFERROR(INDEX(Config!$B$4:$B$6,MATCH(D49,Config!$A$4:$A$6,0)),""),"")</f>
        <v/>
      </c>
      <c r="I49" s="13">
        <f>IF(C49&lt;&gt;"Forecasting",0,IF(G49="",0,IF(ROUND(G49,4)&gt;=ROUND(H49,4),INDEX(Config!$G$4:$G$5,MATCH(C49,Config!$E$4:$E$5,0)),IF(ROUND(G49,4)&gt;=ROUND(H49-INDEX(Config!$C$4:$C$6,MATCH(D49,Config!$A$4:$A$6,0)),4),MAX(1,((G49-(H49-INDEX(Config!$C$4:$C$6,MATCH(D49,Config!$A$4:$A$6,0))))/INDEX(Config!$C$4:$C$6,MATCH(D49,Config!$A$4:$A$6,0)))*INDEX(Config!$G$4:$G$5,MATCH(C49,Config!$E$4:$E$5,0))),0))))</f>
        <v>0</v>
      </c>
      <c r="J49" s="13">
        <f t="shared" si="0"/>
        <v>0</v>
      </c>
      <c r="K49" s="12">
        <v>1.04</v>
      </c>
      <c r="L49" s="13">
        <f>IF(K49="",0,IF(K49&gt;=Config!$B$12,0,IF(K49&gt;Config!$F$14,INDEX(Config!$H$4:$H$5,MATCH(C49,Config!$E$4:$E$5,0))*Config!$F$11,INDEX(Config!$H$4:$H$5,MATCH(C49,Config!$E$4:$E$5,0)))))</f>
        <v>0</v>
      </c>
      <c r="M49" s="13">
        <f>IF(K49="",0,IF(K49&gt;=Config!$B$12,0,IF(K49&gt;=0.96,0,IF(K49&gt;=0.9,Config!$F$12,Config!$F$13))))</f>
        <v>0</v>
      </c>
      <c r="N49" t="s">
        <v>161</v>
      </c>
      <c r="O49" s="11">
        <f>IF(N49="Pass",IFERROR(INDEX(Config!$I$4:$I$5,MATCH(C49,Config!$E$4:$E$5,0)),0),0)</f>
        <v>0</v>
      </c>
      <c r="P49" s="13">
        <f t="shared" si="1"/>
        <v>30</v>
      </c>
      <c r="Q49" s="11">
        <f t="shared" si="2"/>
        <v>7</v>
      </c>
      <c r="R49" s="11">
        <f t="shared" si="3"/>
        <v>2026</v>
      </c>
    </row>
    <row r="50" spans="1:18" x14ac:dyDescent="0.25">
      <c r="A50" s="10">
        <v>46213</v>
      </c>
      <c r="B50" t="s">
        <v>181</v>
      </c>
      <c r="C50" t="s">
        <v>101</v>
      </c>
      <c r="E50" t="s">
        <v>161</v>
      </c>
      <c r="F50" s="11">
        <f>IF(E50="Pass",IFERROR(INDEX(Config!$F$4:$F$5,MATCH(C50,Config!$E$4:$E$5,0)),0),0)</f>
        <v>0</v>
      </c>
      <c r="G50" s="12"/>
      <c r="H50" s="12" t="str">
        <f>IF(C50="Forecasting",IFERROR(INDEX(Config!$B$4:$B$6,MATCH(D50,Config!$A$4:$A$6,0)),""),"")</f>
        <v/>
      </c>
      <c r="I50" s="13">
        <f>IF(C50&lt;&gt;"Forecasting",0,IF(G50="",0,IF(ROUND(G50,4)&gt;=ROUND(H50,4),INDEX(Config!$G$4:$G$5,MATCH(C50,Config!$E$4:$E$5,0)),IF(ROUND(G50,4)&gt;=ROUND(H50-INDEX(Config!$C$4:$C$6,MATCH(D50,Config!$A$4:$A$6,0)),4),MAX(1,((G50-(H50-INDEX(Config!$C$4:$C$6,MATCH(D50,Config!$A$4:$A$6,0))))/INDEX(Config!$C$4:$C$6,MATCH(D50,Config!$A$4:$A$6,0)))*INDEX(Config!$G$4:$G$5,MATCH(C50,Config!$E$4:$E$5,0))),0))))</f>
        <v>0</v>
      </c>
      <c r="J50" s="13">
        <f t="shared" si="0"/>
        <v>0</v>
      </c>
      <c r="K50" s="12">
        <v>0.54</v>
      </c>
      <c r="L50" s="13">
        <f>IF(K50="",0,IF(K50&gt;=Config!$B$12,0,IF(K50&gt;Config!$F$14,INDEX(Config!$H$4:$H$5,MATCH(C50,Config!$E$4:$E$5,0))*Config!$F$11,INDEX(Config!$H$4:$H$5,MATCH(C50,Config!$E$4:$E$5,0)))))</f>
        <v>50</v>
      </c>
      <c r="M50" s="13">
        <f>IF(K50="",0,IF(K50&gt;=Config!$B$12,0,IF(K50&gt;=0.96,0,IF(K50&gt;=0.9,Config!$F$12,Config!$F$13))))</f>
        <v>3</v>
      </c>
      <c r="N50" t="s">
        <v>161</v>
      </c>
      <c r="O50" s="11">
        <f>IF(N50="Pass",IFERROR(INDEX(Config!$I$4:$I$5,MATCH(C50,Config!$E$4:$E$5,0)),0),0)</f>
        <v>0</v>
      </c>
      <c r="P50" s="13">
        <f t="shared" si="1"/>
        <v>53</v>
      </c>
      <c r="Q50" s="11">
        <f t="shared" si="2"/>
        <v>7</v>
      </c>
      <c r="R50" s="11">
        <f t="shared" si="3"/>
        <v>2026</v>
      </c>
    </row>
    <row r="51" spans="1:18" x14ac:dyDescent="0.25">
      <c r="A51" s="10">
        <v>46213</v>
      </c>
      <c r="B51" t="s">
        <v>182</v>
      </c>
      <c r="C51" t="s">
        <v>101</v>
      </c>
      <c r="E51" t="s">
        <v>163</v>
      </c>
      <c r="F51" s="11">
        <f>IF(E51="Pass",IFERROR(INDEX(Config!$F$4:$F$5,MATCH(C51,Config!$E$4:$E$5,0)),0),0)</f>
        <v>30</v>
      </c>
      <c r="G51" s="12"/>
      <c r="H51" s="12" t="str">
        <f>IF(C51="Forecasting",IFERROR(INDEX(Config!$B$4:$B$6,MATCH(D51,Config!$A$4:$A$6,0)),""),"")</f>
        <v/>
      </c>
      <c r="I51" s="13">
        <f>IF(C51&lt;&gt;"Forecasting",0,IF(G51="",0,IF(ROUND(G51,4)&gt;=ROUND(H51,4),INDEX(Config!$G$4:$G$5,MATCH(C51,Config!$E$4:$E$5,0)),IF(ROUND(G51,4)&gt;=ROUND(H51-INDEX(Config!$C$4:$C$6,MATCH(D51,Config!$A$4:$A$6,0)),4),MAX(1,((G51-(H51-INDEX(Config!$C$4:$C$6,MATCH(D51,Config!$A$4:$A$6,0))))/INDEX(Config!$C$4:$C$6,MATCH(D51,Config!$A$4:$A$6,0)))*INDEX(Config!$G$4:$G$5,MATCH(C51,Config!$E$4:$E$5,0))),0))))</f>
        <v>0</v>
      </c>
      <c r="J51" s="13">
        <f t="shared" si="0"/>
        <v>0</v>
      </c>
      <c r="K51" s="12">
        <v>1.01</v>
      </c>
      <c r="L51" s="13">
        <f>IF(K51="",0,IF(K51&gt;=Config!$B$12,0,IF(K51&gt;Config!$F$14,INDEX(Config!$H$4:$H$5,MATCH(C51,Config!$E$4:$E$5,0))*Config!$F$11,INDEX(Config!$H$4:$H$5,MATCH(C51,Config!$E$4:$E$5,0)))))</f>
        <v>45</v>
      </c>
      <c r="M51" s="13">
        <f>IF(K51="",0,IF(K51&gt;=Config!$B$12,0,IF(K51&gt;=0.96,0,IF(K51&gt;=0.9,Config!$F$12,Config!$F$13))))</f>
        <v>0</v>
      </c>
      <c r="N51" t="s">
        <v>161</v>
      </c>
      <c r="O51" s="11">
        <f>IF(N51="Pass",IFERROR(INDEX(Config!$I$4:$I$5,MATCH(C51,Config!$E$4:$E$5,0)),0),0)</f>
        <v>0</v>
      </c>
      <c r="P51" s="13">
        <f t="shared" si="1"/>
        <v>75</v>
      </c>
      <c r="Q51" s="11">
        <f t="shared" si="2"/>
        <v>7</v>
      </c>
      <c r="R51" s="11">
        <f t="shared" si="3"/>
        <v>2026</v>
      </c>
    </row>
    <row r="52" spans="1:18" x14ac:dyDescent="0.25">
      <c r="A52" s="10">
        <v>46213</v>
      </c>
      <c r="B52" t="s">
        <v>183</v>
      </c>
      <c r="C52" t="s">
        <v>101</v>
      </c>
      <c r="E52" t="s">
        <v>163</v>
      </c>
      <c r="F52" s="11">
        <f>IF(E52="Pass",IFERROR(INDEX(Config!$F$4:$F$5,MATCH(C52,Config!$E$4:$E$5,0)),0),0)</f>
        <v>30</v>
      </c>
      <c r="G52" s="12"/>
      <c r="H52" s="12" t="str">
        <f>IF(C52="Forecasting",IFERROR(INDEX(Config!$B$4:$B$6,MATCH(D52,Config!$A$4:$A$6,0)),""),"")</f>
        <v/>
      </c>
      <c r="I52" s="13">
        <f>IF(C52&lt;&gt;"Forecasting",0,IF(G52="",0,IF(ROUND(G52,4)&gt;=ROUND(H52,4),INDEX(Config!$G$4:$G$5,MATCH(C52,Config!$E$4:$E$5,0)),IF(ROUND(G52,4)&gt;=ROUND(H52-INDEX(Config!$C$4:$C$6,MATCH(D52,Config!$A$4:$A$6,0)),4),MAX(1,((G52-(H52-INDEX(Config!$C$4:$C$6,MATCH(D52,Config!$A$4:$A$6,0))))/INDEX(Config!$C$4:$C$6,MATCH(D52,Config!$A$4:$A$6,0)))*INDEX(Config!$G$4:$G$5,MATCH(C52,Config!$E$4:$E$5,0))),0))))</f>
        <v>0</v>
      </c>
      <c r="J52" s="13">
        <f t="shared" si="0"/>
        <v>0</v>
      </c>
      <c r="K52" s="12">
        <v>0.9</v>
      </c>
      <c r="L52" s="13">
        <f>IF(K52="",0,IF(K52&gt;=Config!$B$12,0,IF(K52&gt;Config!$F$14,INDEX(Config!$H$4:$H$5,MATCH(C52,Config!$E$4:$E$5,0))*Config!$F$11,INDEX(Config!$H$4:$H$5,MATCH(C52,Config!$E$4:$E$5,0)))))</f>
        <v>50</v>
      </c>
      <c r="M52" s="13">
        <f>IF(K52="",0,IF(K52&gt;=Config!$B$12,0,IF(K52&gt;=0.96,0,IF(K52&gt;=0.9,Config!$F$12,Config!$F$13))))</f>
        <v>5</v>
      </c>
      <c r="N52" t="s">
        <v>163</v>
      </c>
      <c r="O52" s="11">
        <f>IF(N52="Pass",IFERROR(INDEX(Config!$I$4:$I$5,MATCH(C52,Config!$E$4:$E$5,0)),0),0)</f>
        <v>20</v>
      </c>
      <c r="P52" s="13">
        <f t="shared" si="1"/>
        <v>105</v>
      </c>
      <c r="Q52" s="11">
        <f t="shared" si="2"/>
        <v>7</v>
      </c>
      <c r="R52" s="11">
        <f t="shared" si="3"/>
        <v>2026</v>
      </c>
    </row>
    <row r="53" spans="1:18" x14ac:dyDescent="0.25">
      <c r="A53" s="10">
        <v>46213</v>
      </c>
      <c r="B53" t="s">
        <v>184</v>
      </c>
      <c r="C53" t="s">
        <v>101</v>
      </c>
      <c r="E53" t="s">
        <v>161</v>
      </c>
      <c r="F53" s="11">
        <f>IF(E53="Pass",IFERROR(INDEX(Config!$F$4:$F$5,MATCH(C53,Config!$E$4:$E$5,0)),0),0)</f>
        <v>0</v>
      </c>
      <c r="G53" s="12"/>
      <c r="H53" s="12" t="str">
        <f>IF(C53="Forecasting",IFERROR(INDEX(Config!$B$4:$B$6,MATCH(D53,Config!$A$4:$A$6,0)),""),"")</f>
        <v/>
      </c>
      <c r="I53" s="13">
        <f>IF(C53&lt;&gt;"Forecasting",0,IF(G53="",0,IF(ROUND(G53,4)&gt;=ROUND(H53,4),INDEX(Config!$G$4:$G$5,MATCH(C53,Config!$E$4:$E$5,0)),IF(ROUND(G53,4)&gt;=ROUND(H53-INDEX(Config!$C$4:$C$6,MATCH(D53,Config!$A$4:$A$6,0)),4),MAX(1,((G53-(H53-INDEX(Config!$C$4:$C$6,MATCH(D53,Config!$A$4:$A$6,0))))/INDEX(Config!$C$4:$C$6,MATCH(D53,Config!$A$4:$A$6,0)))*INDEX(Config!$G$4:$G$5,MATCH(C53,Config!$E$4:$E$5,0))),0))))</f>
        <v>0</v>
      </c>
      <c r="J53" s="13">
        <f t="shared" si="0"/>
        <v>0</v>
      </c>
      <c r="K53" s="12">
        <v>0.74</v>
      </c>
      <c r="L53" s="13">
        <f>IF(K53="",0,IF(K53&gt;=Config!$B$12,0,IF(K53&gt;Config!$F$14,INDEX(Config!$H$4:$H$5,MATCH(C53,Config!$E$4:$E$5,0))*Config!$F$11,INDEX(Config!$H$4:$H$5,MATCH(C53,Config!$E$4:$E$5,0)))))</f>
        <v>50</v>
      </c>
      <c r="M53" s="13">
        <f>IF(K53="",0,IF(K53&gt;=Config!$B$12,0,IF(K53&gt;=0.96,0,IF(K53&gt;=0.9,Config!$F$12,Config!$F$13))))</f>
        <v>3</v>
      </c>
      <c r="N53" t="s">
        <v>163</v>
      </c>
      <c r="O53" s="11">
        <f>IF(N53="Pass",IFERROR(INDEX(Config!$I$4:$I$5,MATCH(C53,Config!$E$4:$E$5,0)),0),0)</f>
        <v>20</v>
      </c>
      <c r="P53" s="13">
        <f t="shared" si="1"/>
        <v>73</v>
      </c>
      <c r="Q53" s="11">
        <f t="shared" si="2"/>
        <v>7</v>
      </c>
      <c r="R53" s="11">
        <f t="shared" si="3"/>
        <v>2026</v>
      </c>
    </row>
    <row r="54" spans="1:18" x14ac:dyDescent="0.25">
      <c r="A54" s="10">
        <v>46213</v>
      </c>
      <c r="B54" t="s">
        <v>185</v>
      </c>
      <c r="C54" t="s">
        <v>101</v>
      </c>
      <c r="E54" t="s">
        <v>161</v>
      </c>
      <c r="F54" s="11">
        <f>IF(E54="Pass",IFERROR(INDEX(Config!$F$4:$F$5,MATCH(C54,Config!$E$4:$E$5,0)),0),0)</f>
        <v>0</v>
      </c>
      <c r="G54" s="12"/>
      <c r="H54" s="12" t="str">
        <f>IF(C54="Forecasting",IFERROR(INDEX(Config!$B$4:$B$6,MATCH(D54,Config!$A$4:$A$6,0)),""),"")</f>
        <v/>
      </c>
      <c r="I54" s="13">
        <f>IF(C54&lt;&gt;"Forecasting",0,IF(G54="",0,IF(ROUND(G54,4)&gt;=ROUND(H54,4),INDEX(Config!$G$4:$G$5,MATCH(C54,Config!$E$4:$E$5,0)),IF(ROUND(G54,4)&gt;=ROUND(H54-INDEX(Config!$C$4:$C$6,MATCH(D54,Config!$A$4:$A$6,0)),4),MAX(1,((G54-(H54-INDEX(Config!$C$4:$C$6,MATCH(D54,Config!$A$4:$A$6,0))))/INDEX(Config!$C$4:$C$6,MATCH(D54,Config!$A$4:$A$6,0)))*INDEX(Config!$G$4:$G$5,MATCH(C54,Config!$E$4:$E$5,0))),0))))</f>
        <v>0</v>
      </c>
      <c r="J54" s="13">
        <f t="shared" si="0"/>
        <v>0</v>
      </c>
      <c r="K54" s="12">
        <v>0.97</v>
      </c>
      <c r="L54" s="13">
        <f>IF(K54="",0,IF(K54&gt;=Config!$B$12,0,IF(K54&gt;Config!$F$14,INDEX(Config!$H$4:$H$5,MATCH(C54,Config!$E$4:$E$5,0))*Config!$F$11,INDEX(Config!$H$4:$H$5,MATCH(C54,Config!$E$4:$E$5,0)))))</f>
        <v>50</v>
      </c>
      <c r="M54" s="13">
        <f>IF(K54="",0,IF(K54&gt;=Config!$B$12,0,IF(K54&gt;=0.96,0,IF(K54&gt;=0.9,Config!$F$12,Config!$F$13))))</f>
        <v>0</v>
      </c>
      <c r="N54" t="s">
        <v>161</v>
      </c>
      <c r="O54" s="11">
        <f>IF(N54="Pass",IFERROR(INDEX(Config!$I$4:$I$5,MATCH(C54,Config!$E$4:$E$5,0)),0),0)</f>
        <v>0</v>
      </c>
      <c r="P54" s="13">
        <f t="shared" si="1"/>
        <v>50</v>
      </c>
      <c r="Q54" s="11">
        <f t="shared" si="2"/>
        <v>7</v>
      </c>
      <c r="R54" s="11">
        <f t="shared" si="3"/>
        <v>2026</v>
      </c>
    </row>
    <row r="55" spans="1:18" x14ac:dyDescent="0.25">
      <c r="A55" s="10">
        <v>46213</v>
      </c>
      <c r="B55" t="s">
        <v>186</v>
      </c>
      <c r="C55" t="s">
        <v>101</v>
      </c>
      <c r="E55" t="s">
        <v>163</v>
      </c>
      <c r="F55" s="11">
        <f>IF(E55="Pass",IFERROR(INDEX(Config!$F$4:$F$5,MATCH(C55,Config!$E$4:$E$5,0)),0),0)</f>
        <v>30</v>
      </c>
      <c r="G55" s="12"/>
      <c r="H55" s="12" t="str">
        <f>IF(C55="Forecasting",IFERROR(INDEX(Config!$B$4:$B$6,MATCH(D55,Config!$A$4:$A$6,0)),""),"")</f>
        <v/>
      </c>
      <c r="I55" s="13">
        <f>IF(C55&lt;&gt;"Forecasting",0,IF(G55="",0,IF(ROUND(G55,4)&gt;=ROUND(H55,4),INDEX(Config!$G$4:$G$5,MATCH(C55,Config!$E$4:$E$5,0)),IF(ROUND(G55,4)&gt;=ROUND(H55-INDEX(Config!$C$4:$C$6,MATCH(D55,Config!$A$4:$A$6,0)),4),MAX(1,((G55-(H55-INDEX(Config!$C$4:$C$6,MATCH(D55,Config!$A$4:$A$6,0))))/INDEX(Config!$C$4:$C$6,MATCH(D55,Config!$A$4:$A$6,0)))*INDEX(Config!$G$4:$G$5,MATCH(C55,Config!$E$4:$E$5,0))),0))))</f>
        <v>0</v>
      </c>
      <c r="J55" s="13">
        <f t="shared" si="0"/>
        <v>0</v>
      </c>
      <c r="K55" s="12">
        <v>0.98</v>
      </c>
      <c r="L55" s="13">
        <f>IF(K55="",0,IF(K55&gt;=Config!$B$12,0,IF(K55&gt;Config!$F$14,INDEX(Config!$H$4:$H$5,MATCH(C55,Config!$E$4:$E$5,0))*Config!$F$11,INDEX(Config!$H$4:$H$5,MATCH(C55,Config!$E$4:$E$5,0)))))</f>
        <v>50</v>
      </c>
      <c r="M55" s="13">
        <f>IF(K55="",0,IF(K55&gt;=Config!$B$12,0,IF(K55&gt;=0.96,0,IF(K55&gt;=0.9,Config!$F$12,Config!$F$13))))</f>
        <v>0</v>
      </c>
      <c r="N55" t="s">
        <v>163</v>
      </c>
      <c r="O55" s="11">
        <f>IF(N55="Pass",IFERROR(INDEX(Config!$I$4:$I$5,MATCH(C55,Config!$E$4:$E$5,0)),0),0)</f>
        <v>20</v>
      </c>
      <c r="P55" s="13">
        <f t="shared" si="1"/>
        <v>100</v>
      </c>
      <c r="Q55" s="11">
        <f t="shared" si="2"/>
        <v>7</v>
      </c>
      <c r="R55" s="11">
        <f t="shared" si="3"/>
        <v>2026</v>
      </c>
    </row>
    <row r="56" spans="1:18" x14ac:dyDescent="0.25">
      <c r="A56" s="10">
        <v>46213</v>
      </c>
      <c r="B56" t="s">
        <v>187</v>
      </c>
      <c r="C56" t="s">
        <v>101</v>
      </c>
      <c r="E56" t="s">
        <v>163</v>
      </c>
      <c r="F56" s="11">
        <f>IF(E56="Pass",IFERROR(INDEX(Config!$F$4:$F$5,MATCH(C56,Config!$E$4:$E$5,0)),0),0)</f>
        <v>30</v>
      </c>
      <c r="G56" s="12"/>
      <c r="H56" s="12" t="str">
        <f>IF(C56="Forecasting",IFERROR(INDEX(Config!$B$4:$B$6,MATCH(D56,Config!$A$4:$A$6,0)),""),"")</f>
        <v/>
      </c>
      <c r="I56" s="13">
        <f>IF(C56&lt;&gt;"Forecasting",0,IF(G56="",0,IF(ROUND(G56,4)&gt;=ROUND(H56,4),INDEX(Config!$G$4:$G$5,MATCH(C56,Config!$E$4:$E$5,0)),IF(ROUND(G56,4)&gt;=ROUND(H56-INDEX(Config!$C$4:$C$6,MATCH(D56,Config!$A$4:$A$6,0)),4),MAX(1,((G56-(H56-INDEX(Config!$C$4:$C$6,MATCH(D56,Config!$A$4:$A$6,0))))/INDEX(Config!$C$4:$C$6,MATCH(D56,Config!$A$4:$A$6,0)))*INDEX(Config!$G$4:$G$5,MATCH(C56,Config!$E$4:$E$5,0))),0))))</f>
        <v>0</v>
      </c>
      <c r="J56" s="13">
        <f t="shared" si="0"/>
        <v>0</v>
      </c>
      <c r="K56" s="12">
        <v>0.56999999999999995</v>
      </c>
      <c r="L56" s="13">
        <f>IF(K56="",0,IF(K56&gt;=Config!$B$12,0,IF(K56&gt;Config!$F$14,INDEX(Config!$H$4:$H$5,MATCH(C56,Config!$E$4:$E$5,0))*Config!$F$11,INDEX(Config!$H$4:$H$5,MATCH(C56,Config!$E$4:$E$5,0)))))</f>
        <v>50</v>
      </c>
      <c r="M56" s="13">
        <f>IF(K56="",0,IF(K56&gt;=Config!$B$12,0,IF(K56&gt;=0.96,0,IF(K56&gt;=0.9,Config!$F$12,Config!$F$13))))</f>
        <v>3</v>
      </c>
      <c r="N56" t="s">
        <v>163</v>
      </c>
      <c r="O56" s="11">
        <f>IF(N56="Pass",IFERROR(INDEX(Config!$I$4:$I$5,MATCH(C56,Config!$E$4:$E$5,0)),0),0)</f>
        <v>20</v>
      </c>
      <c r="P56" s="13">
        <f t="shared" si="1"/>
        <v>103</v>
      </c>
      <c r="Q56" s="11">
        <f t="shared" si="2"/>
        <v>7</v>
      </c>
      <c r="R56" s="11">
        <f t="shared" si="3"/>
        <v>2026</v>
      </c>
    </row>
    <row r="57" spans="1:18" x14ac:dyDescent="0.25">
      <c r="A57" s="10">
        <v>46213</v>
      </c>
      <c r="B57" t="s">
        <v>188</v>
      </c>
      <c r="C57" t="s">
        <v>101</v>
      </c>
      <c r="E57" t="s">
        <v>163</v>
      </c>
      <c r="F57" s="11">
        <f>IF(E57="Pass",IFERROR(INDEX(Config!$F$4:$F$5,MATCH(C57,Config!$E$4:$E$5,0)),0),0)</f>
        <v>30</v>
      </c>
      <c r="G57" s="12"/>
      <c r="H57" s="12" t="str">
        <f>IF(C57="Forecasting",IFERROR(INDEX(Config!$B$4:$B$6,MATCH(D57,Config!$A$4:$A$6,0)),""),"")</f>
        <v/>
      </c>
      <c r="I57" s="13">
        <f>IF(C57&lt;&gt;"Forecasting",0,IF(G57="",0,IF(ROUND(G57,4)&gt;=ROUND(H57,4),INDEX(Config!$G$4:$G$5,MATCH(C57,Config!$E$4:$E$5,0)),IF(ROUND(G57,4)&gt;=ROUND(H57-INDEX(Config!$C$4:$C$6,MATCH(D57,Config!$A$4:$A$6,0)),4),MAX(1,((G57-(H57-INDEX(Config!$C$4:$C$6,MATCH(D57,Config!$A$4:$A$6,0))))/INDEX(Config!$C$4:$C$6,MATCH(D57,Config!$A$4:$A$6,0)))*INDEX(Config!$G$4:$G$5,MATCH(C57,Config!$E$4:$E$5,0))),0))))</f>
        <v>0</v>
      </c>
      <c r="J57" s="13">
        <f t="shared" si="0"/>
        <v>0</v>
      </c>
      <c r="K57" s="12">
        <v>0.99</v>
      </c>
      <c r="L57" s="13">
        <f>IF(K57="",0,IF(K57&gt;=Config!$B$12,0,IF(K57&gt;Config!$F$14,INDEX(Config!$H$4:$H$5,MATCH(C57,Config!$E$4:$E$5,0))*Config!$F$11,INDEX(Config!$H$4:$H$5,MATCH(C57,Config!$E$4:$E$5,0)))))</f>
        <v>50</v>
      </c>
      <c r="M57" s="13">
        <f>IF(K57="",0,IF(K57&gt;=Config!$B$12,0,IF(K57&gt;=0.96,0,IF(K57&gt;=0.9,Config!$F$12,Config!$F$13))))</f>
        <v>0</v>
      </c>
      <c r="N57" t="s">
        <v>163</v>
      </c>
      <c r="O57" s="11">
        <f>IF(N57="Pass",IFERROR(INDEX(Config!$I$4:$I$5,MATCH(C57,Config!$E$4:$E$5,0)),0),0)</f>
        <v>20</v>
      </c>
      <c r="P57" s="13">
        <f t="shared" si="1"/>
        <v>100</v>
      </c>
      <c r="Q57" s="11">
        <f t="shared" si="2"/>
        <v>7</v>
      </c>
      <c r="R57" s="11">
        <f t="shared" si="3"/>
        <v>2026</v>
      </c>
    </row>
    <row r="58" spans="1:18" x14ac:dyDescent="0.25">
      <c r="A58" s="10">
        <v>46213</v>
      </c>
      <c r="B58" t="s">
        <v>189</v>
      </c>
      <c r="C58" t="s">
        <v>101</v>
      </c>
      <c r="E58" t="s">
        <v>163</v>
      </c>
      <c r="F58" s="11">
        <f>IF(E58="Pass",IFERROR(INDEX(Config!$F$4:$F$5,MATCH(C58,Config!$E$4:$E$5,0)),0),0)</f>
        <v>30</v>
      </c>
      <c r="G58" s="12"/>
      <c r="H58" s="12" t="str">
        <f>IF(C58="Forecasting",IFERROR(INDEX(Config!$B$4:$B$6,MATCH(D58,Config!$A$4:$A$6,0)),""),"")</f>
        <v/>
      </c>
      <c r="I58" s="13">
        <f>IF(C58&lt;&gt;"Forecasting",0,IF(G58="",0,IF(ROUND(G58,4)&gt;=ROUND(H58,4),INDEX(Config!$G$4:$G$5,MATCH(C58,Config!$E$4:$E$5,0)),IF(ROUND(G58,4)&gt;=ROUND(H58-INDEX(Config!$C$4:$C$6,MATCH(D58,Config!$A$4:$A$6,0)),4),MAX(1,((G58-(H58-INDEX(Config!$C$4:$C$6,MATCH(D58,Config!$A$4:$A$6,0))))/INDEX(Config!$C$4:$C$6,MATCH(D58,Config!$A$4:$A$6,0)))*INDEX(Config!$G$4:$G$5,MATCH(C58,Config!$E$4:$E$5,0))),0))))</f>
        <v>0</v>
      </c>
      <c r="J58" s="13">
        <f t="shared" si="0"/>
        <v>0</v>
      </c>
      <c r="K58" s="12">
        <v>0.96</v>
      </c>
      <c r="L58" s="13">
        <f>IF(K58="",0,IF(K58&gt;=Config!$B$12,0,IF(K58&gt;Config!$F$14,INDEX(Config!$H$4:$H$5,MATCH(C58,Config!$E$4:$E$5,0))*Config!$F$11,INDEX(Config!$H$4:$H$5,MATCH(C58,Config!$E$4:$E$5,0)))))</f>
        <v>50</v>
      </c>
      <c r="M58" s="13">
        <f>IF(K58="",0,IF(K58&gt;=Config!$B$12,0,IF(K58&gt;=0.96,0,IF(K58&gt;=0.9,Config!$F$12,Config!$F$13))))</f>
        <v>0</v>
      </c>
      <c r="N58" t="s">
        <v>161</v>
      </c>
      <c r="O58" s="11">
        <f>IF(N58="Pass",IFERROR(INDEX(Config!$I$4:$I$5,MATCH(C58,Config!$E$4:$E$5,0)),0),0)</f>
        <v>0</v>
      </c>
      <c r="P58" s="13">
        <f t="shared" si="1"/>
        <v>80</v>
      </c>
      <c r="Q58" s="11">
        <f t="shared" si="2"/>
        <v>7</v>
      </c>
      <c r="R58" s="11">
        <f t="shared" si="3"/>
        <v>2026</v>
      </c>
    </row>
    <row r="59" spans="1:18" x14ac:dyDescent="0.25">
      <c r="A59" s="10"/>
      <c r="F59" s="11">
        <f>IF(E59="Pass",IFERROR(INDEX(Config!$F$4:$F$5,MATCH(C59,Config!$E$4:$E$5,0)),0),0)</f>
        <v>0</v>
      </c>
      <c r="G59" s="12"/>
      <c r="H59" s="12" t="str">
        <f>IF(C59="Forecasting",IFERROR(INDEX(Config!$B$4:$B$6,MATCH(D59,Config!$A$4:$A$6,0)),""),"")</f>
        <v/>
      </c>
      <c r="I59" s="13">
        <f>IF(C59&lt;&gt;"Forecasting",0,IF(G59="",0,IF(ROUND(G59,4)&gt;=ROUND(H59,4),INDEX(Config!$G$4:$G$5,MATCH(C59,Config!$E$4:$E$5,0)),IF(ROUND(G59,4)&gt;=ROUND(H59-INDEX(Config!$C$4:$C$6,MATCH(D59,Config!$A$4:$A$6,0)),4),MAX(1,((G59-(H59-INDEX(Config!$C$4:$C$6,MATCH(D59,Config!$A$4:$A$6,0))))/INDEX(Config!$C$4:$C$6,MATCH(D59,Config!$A$4:$A$6,0)))*INDEX(Config!$G$4:$G$5,MATCH(C59,Config!$E$4:$E$5,0))),0))))</f>
        <v>0</v>
      </c>
      <c r="J59" s="13">
        <f t="shared" si="0"/>
        <v>0</v>
      </c>
      <c r="K59" s="12"/>
      <c r="L59" s="13">
        <f>IF(K59="",0,IF(K59&gt;=Config!$B$12,0,IF(K59&gt;Config!$F$14,INDEX(Config!$H$4:$H$5,MATCH(C59,Config!$E$4:$E$5,0))*Config!$F$11,INDEX(Config!$H$4:$H$5,MATCH(C59,Config!$E$4:$E$5,0)))))</f>
        <v>0</v>
      </c>
      <c r="M59" s="13">
        <f>IF(K59="",0,IF(K59&gt;=Config!$B$12,0,IF(K59&gt;=0.96,0,IF(K59&gt;=0.9,Config!$F$12,Config!$F$13))))</f>
        <v>0</v>
      </c>
      <c r="O59" s="11">
        <f>IF(N59="Pass",IFERROR(INDEX(Config!$I$4:$I$5,MATCH(C59,Config!$E$4:$E$5,0)),0),0)</f>
        <v>0</v>
      </c>
      <c r="P59" s="13">
        <f t="shared" si="1"/>
        <v>0</v>
      </c>
      <c r="Q59" s="11" t="str">
        <f t="shared" si="2"/>
        <v/>
      </c>
      <c r="R59" s="11" t="str">
        <f t="shared" si="3"/>
        <v/>
      </c>
    </row>
    <row r="60" spans="1:18" x14ac:dyDescent="0.25">
      <c r="A60" s="10"/>
      <c r="F60" s="11">
        <f>IF(E60="Pass",IFERROR(INDEX(Config!$F$4:$F$5,MATCH(C60,Config!$E$4:$E$5,0)),0),0)</f>
        <v>0</v>
      </c>
      <c r="G60" s="12"/>
      <c r="H60" s="12" t="str">
        <f>IF(C60="Forecasting",IFERROR(INDEX(Config!$B$4:$B$6,MATCH(D60,Config!$A$4:$A$6,0)),""),"")</f>
        <v/>
      </c>
      <c r="I60" s="13">
        <f>IF(C60&lt;&gt;"Forecasting",0,IF(G60="",0,IF(ROUND(G60,4)&gt;=ROUND(H60,4),INDEX(Config!$G$4:$G$5,MATCH(C60,Config!$E$4:$E$5,0)),IF(ROUND(G60,4)&gt;=ROUND(H60-INDEX(Config!$C$4:$C$6,MATCH(D60,Config!$A$4:$A$6,0)),4),MAX(1,((G60-(H60-INDEX(Config!$C$4:$C$6,MATCH(D60,Config!$A$4:$A$6,0))))/INDEX(Config!$C$4:$C$6,MATCH(D60,Config!$A$4:$A$6,0)))*INDEX(Config!$G$4:$G$5,MATCH(C60,Config!$E$4:$E$5,0))),0))))</f>
        <v>0</v>
      </c>
      <c r="J60" s="13">
        <f t="shared" si="0"/>
        <v>0</v>
      </c>
      <c r="K60" s="12"/>
      <c r="L60" s="13">
        <f>IF(K60="",0,IF(K60&gt;=Config!$B$12,0,IF(K60&gt;Config!$F$14,INDEX(Config!$H$4:$H$5,MATCH(C60,Config!$E$4:$E$5,0))*Config!$F$11,INDEX(Config!$H$4:$H$5,MATCH(C60,Config!$E$4:$E$5,0)))))</f>
        <v>0</v>
      </c>
      <c r="M60" s="13">
        <f>IF(K60="",0,IF(K60&gt;=Config!$B$12,0,IF(K60&gt;=0.96,0,IF(K60&gt;=0.9,Config!$F$12,Config!$F$13))))</f>
        <v>0</v>
      </c>
      <c r="O60" s="11">
        <f>IF(N60="Pass",IFERROR(INDEX(Config!$I$4:$I$5,MATCH(C60,Config!$E$4:$E$5,0)),0),0)</f>
        <v>0</v>
      </c>
      <c r="P60" s="13">
        <f t="shared" si="1"/>
        <v>0</v>
      </c>
      <c r="Q60" s="11" t="str">
        <f t="shared" si="2"/>
        <v/>
      </c>
      <c r="R60" s="11" t="str">
        <f t="shared" si="3"/>
        <v/>
      </c>
    </row>
    <row r="61" spans="1:18" x14ac:dyDescent="0.25">
      <c r="A61" s="10"/>
      <c r="F61" s="11">
        <f>IF(E61="Pass",IFERROR(INDEX(Config!$F$4:$F$5,MATCH(C61,Config!$E$4:$E$5,0)),0),0)</f>
        <v>0</v>
      </c>
      <c r="G61" s="12"/>
      <c r="H61" s="12" t="str">
        <f>IF(C61="Forecasting",IFERROR(INDEX(Config!$B$4:$B$6,MATCH(D61,Config!$A$4:$A$6,0)),""),"")</f>
        <v/>
      </c>
      <c r="I61" s="13">
        <f>IF(C61&lt;&gt;"Forecasting",0,IF(G61="",0,IF(ROUND(G61,4)&gt;=ROUND(H61,4),INDEX(Config!$G$4:$G$5,MATCH(C61,Config!$E$4:$E$5,0)),IF(ROUND(G61,4)&gt;=ROUND(H61-INDEX(Config!$C$4:$C$6,MATCH(D61,Config!$A$4:$A$6,0)),4),MAX(1,((G61-(H61-INDEX(Config!$C$4:$C$6,MATCH(D61,Config!$A$4:$A$6,0))))/INDEX(Config!$C$4:$C$6,MATCH(D61,Config!$A$4:$A$6,0)))*INDEX(Config!$G$4:$G$5,MATCH(C61,Config!$E$4:$E$5,0))),0))))</f>
        <v>0</v>
      </c>
      <c r="J61" s="13">
        <f t="shared" si="0"/>
        <v>0</v>
      </c>
      <c r="K61" s="12"/>
      <c r="L61" s="13">
        <f>IF(K61="",0,IF(K61&gt;=Config!$B$12,0,IF(K61&gt;Config!$F$14,INDEX(Config!$H$4:$H$5,MATCH(C61,Config!$E$4:$E$5,0))*Config!$F$11,INDEX(Config!$H$4:$H$5,MATCH(C61,Config!$E$4:$E$5,0)))))</f>
        <v>0</v>
      </c>
      <c r="M61" s="13">
        <f>IF(K61="",0,IF(K61&gt;=Config!$B$12,0,IF(K61&gt;=0.96,0,IF(K61&gt;=0.9,Config!$F$12,Config!$F$13))))</f>
        <v>0</v>
      </c>
      <c r="O61" s="11">
        <f>IF(N61="Pass",IFERROR(INDEX(Config!$I$4:$I$5,MATCH(C61,Config!$E$4:$E$5,0)),0),0)</f>
        <v>0</v>
      </c>
      <c r="P61" s="13">
        <f t="shared" si="1"/>
        <v>0</v>
      </c>
      <c r="Q61" s="11" t="str">
        <f t="shared" si="2"/>
        <v/>
      </c>
      <c r="R61" s="11" t="str">
        <f t="shared" si="3"/>
        <v/>
      </c>
    </row>
    <row r="62" spans="1:18" x14ac:dyDescent="0.25">
      <c r="A62" s="10"/>
      <c r="F62" s="11">
        <f>IF(E62="Pass",IFERROR(INDEX(Config!$F$4:$F$5,MATCH(C62,Config!$E$4:$E$5,0)),0),0)</f>
        <v>0</v>
      </c>
      <c r="G62" s="12"/>
      <c r="H62" s="12" t="str">
        <f>IF(C62="Forecasting",IFERROR(INDEX(Config!$B$4:$B$6,MATCH(D62,Config!$A$4:$A$6,0)),""),"")</f>
        <v/>
      </c>
      <c r="I62" s="13">
        <f>IF(C62&lt;&gt;"Forecasting",0,IF(G62="",0,IF(ROUND(G62,4)&gt;=ROUND(H62,4),INDEX(Config!$G$4:$G$5,MATCH(C62,Config!$E$4:$E$5,0)),IF(ROUND(G62,4)&gt;=ROUND(H62-INDEX(Config!$C$4:$C$6,MATCH(D62,Config!$A$4:$A$6,0)),4),MAX(1,((G62-(H62-INDEX(Config!$C$4:$C$6,MATCH(D62,Config!$A$4:$A$6,0))))/INDEX(Config!$C$4:$C$6,MATCH(D62,Config!$A$4:$A$6,0)))*INDEX(Config!$G$4:$G$5,MATCH(C62,Config!$E$4:$E$5,0))),0))))</f>
        <v>0</v>
      </c>
      <c r="J62" s="13">
        <f t="shared" si="0"/>
        <v>0</v>
      </c>
      <c r="K62" s="12"/>
      <c r="L62" s="13">
        <f>IF(K62="",0,IF(K62&gt;=Config!$B$12,0,IF(K62&gt;Config!$F$14,INDEX(Config!$H$4:$H$5,MATCH(C62,Config!$E$4:$E$5,0))*Config!$F$11,INDEX(Config!$H$4:$H$5,MATCH(C62,Config!$E$4:$E$5,0)))))</f>
        <v>0</v>
      </c>
      <c r="M62" s="13">
        <f>IF(K62="",0,IF(K62&gt;=Config!$B$12,0,IF(K62&gt;=0.96,0,IF(K62&gt;=0.9,Config!$F$12,Config!$F$13))))</f>
        <v>0</v>
      </c>
      <c r="O62" s="11">
        <f>IF(N62="Pass",IFERROR(INDEX(Config!$I$4:$I$5,MATCH(C62,Config!$E$4:$E$5,0)),0),0)</f>
        <v>0</v>
      </c>
      <c r="P62" s="13">
        <f t="shared" si="1"/>
        <v>0</v>
      </c>
      <c r="Q62" s="11" t="str">
        <f t="shared" si="2"/>
        <v/>
      </c>
      <c r="R62" s="11" t="str">
        <f t="shared" si="3"/>
        <v/>
      </c>
    </row>
    <row r="63" spans="1:18" x14ac:dyDescent="0.25">
      <c r="A63" s="10"/>
      <c r="F63" s="11">
        <f>IF(E63="Pass",IFERROR(INDEX(Config!$F$4:$F$5,MATCH(C63,Config!$E$4:$E$5,0)),0),0)</f>
        <v>0</v>
      </c>
      <c r="G63" s="12"/>
      <c r="H63" s="12" t="str">
        <f>IF(C63="Forecasting",IFERROR(INDEX(Config!$B$4:$B$6,MATCH(D63,Config!$A$4:$A$6,0)),""),"")</f>
        <v/>
      </c>
      <c r="I63" s="13">
        <f>IF(C63&lt;&gt;"Forecasting",0,IF(G63="",0,IF(ROUND(G63,4)&gt;=ROUND(H63,4),INDEX(Config!$G$4:$G$5,MATCH(C63,Config!$E$4:$E$5,0)),IF(ROUND(G63,4)&gt;=ROUND(H63-INDEX(Config!$C$4:$C$6,MATCH(D63,Config!$A$4:$A$6,0)),4),MAX(1,((G63-(H63-INDEX(Config!$C$4:$C$6,MATCH(D63,Config!$A$4:$A$6,0))))/INDEX(Config!$C$4:$C$6,MATCH(D63,Config!$A$4:$A$6,0)))*INDEX(Config!$G$4:$G$5,MATCH(C63,Config!$E$4:$E$5,0))),0))))</f>
        <v>0</v>
      </c>
      <c r="J63" s="13">
        <f t="shared" si="0"/>
        <v>0</v>
      </c>
      <c r="K63" s="12"/>
      <c r="L63" s="13">
        <f>IF(K63="",0,IF(K63&gt;=Config!$B$12,0,IF(K63&gt;Config!$F$14,INDEX(Config!$H$4:$H$5,MATCH(C63,Config!$E$4:$E$5,0))*Config!$F$11,INDEX(Config!$H$4:$H$5,MATCH(C63,Config!$E$4:$E$5,0)))))</f>
        <v>0</v>
      </c>
      <c r="M63" s="13">
        <f>IF(K63="",0,IF(K63&gt;=Config!$B$12,0,IF(K63&gt;=0.96,0,IF(K63&gt;=0.9,Config!$F$12,Config!$F$13))))</f>
        <v>0</v>
      </c>
      <c r="O63" s="11">
        <f>IF(N63="Pass",IFERROR(INDEX(Config!$I$4:$I$5,MATCH(C63,Config!$E$4:$E$5,0)),0),0)</f>
        <v>0</v>
      </c>
      <c r="P63" s="13">
        <f t="shared" si="1"/>
        <v>0</v>
      </c>
      <c r="Q63" s="11" t="str">
        <f t="shared" si="2"/>
        <v/>
      </c>
      <c r="R63" s="11" t="str">
        <f t="shared" si="3"/>
        <v/>
      </c>
    </row>
    <row r="64" spans="1:18" x14ac:dyDescent="0.25">
      <c r="A64" s="10"/>
      <c r="F64" s="11">
        <f>IF(E64="Pass",IFERROR(INDEX(Config!$F$4:$F$5,MATCH(C64,Config!$E$4:$E$5,0)),0),0)</f>
        <v>0</v>
      </c>
      <c r="G64" s="12"/>
      <c r="H64" s="12" t="str">
        <f>IF(C64="Forecasting",IFERROR(INDEX(Config!$B$4:$B$6,MATCH(D64,Config!$A$4:$A$6,0)),""),"")</f>
        <v/>
      </c>
      <c r="I64" s="13">
        <f>IF(C64&lt;&gt;"Forecasting",0,IF(G64="",0,IF(ROUND(G64,4)&gt;=ROUND(H64,4),INDEX(Config!$G$4:$G$5,MATCH(C64,Config!$E$4:$E$5,0)),IF(ROUND(G64,4)&gt;=ROUND(H64-INDEX(Config!$C$4:$C$6,MATCH(D64,Config!$A$4:$A$6,0)),4),MAX(1,((G64-(H64-INDEX(Config!$C$4:$C$6,MATCH(D64,Config!$A$4:$A$6,0))))/INDEX(Config!$C$4:$C$6,MATCH(D64,Config!$A$4:$A$6,0)))*INDEX(Config!$G$4:$G$5,MATCH(C64,Config!$E$4:$E$5,0))),0))))</f>
        <v>0</v>
      </c>
      <c r="J64" s="13">
        <f t="shared" si="0"/>
        <v>0</v>
      </c>
      <c r="K64" s="12"/>
      <c r="L64" s="13">
        <f>IF(K64="",0,IF(K64&gt;=Config!$B$12,0,IF(K64&gt;Config!$F$14,INDEX(Config!$H$4:$H$5,MATCH(C64,Config!$E$4:$E$5,0))*Config!$F$11,INDEX(Config!$H$4:$H$5,MATCH(C64,Config!$E$4:$E$5,0)))))</f>
        <v>0</v>
      </c>
      <c r="M64" s="13">
        <f>IF(K64="",0,IF(K64&gt;=Config!$B$12,0,IF(K64&gt;=0.96,0,IF(K64&gt;=0.9,Config!$F$12,Config!$F$13))))</f>
        <v>0</v>
      </c>
      <c r="O64" s="11">
        <f>IF(N64="Pass",IFERROR(INDEX(Config!$I$4:$I$5,MATCH(C64,Config!$E$4:$E$5,0)),0),0)</f>
        <v>0</v>
      </c>
      <c r="P64" s="13">
        <f t="shared" si="1"/>
        <v>0</v>
      </c>
      <c r="Q64" s="11" t="str">
        <f t="shared" si="2"/>
        <v/>
      </c>
      <c r="R64" s="11" t="str">
        <f t="shared" si="3"/>
        <v/>
      </c>
    </row>
    <row r="65" spans="1:18" x14ac:dyDescent="0.25">
      <c r="A65" s="10"/>
      <c r="F65" s="11">
        <f>IF(E65="Pass",IFERROR(INDEX(Config!$F$4:$F$5,MATCH(C65,Config!$E$4:$E$5,0)),0),0)</f>
        <v>0</v>
      </c>
      <c r="G65" s="12"/>
      <c r="H65" s="12" t="str">
        <f>IF(C65="Forecasting",IFERROR(INDEX(Config!$B$4:$B$6,MATCH(D65,Config!$A$4:$A$6,0)),""),"")</f>
        <v/>
      </c>
      <c r="I65" s="13">
        <f>IF(C65&lt;&gt;"Forecasting",0,IF(G65="",0,IF(ROUND(G65,4)&gt;=ROUND(H65,4),INDEX(Config!$G$4:$G$5,MATCH(C65,Config!$E$4:$E$5,0)),IF(ROUND(G65,4)&gt;=ROUND(H65-INDEX(Config!$C$4:$C$6,MATCH(D65,Config!$A$4:$A$6,0)),4),MAX(1,((G65-(H65-INDEX(Config!$C$4:$C$6,MATCH(D65,Config!$A$4:$A$6,0))))/INDEX(Config!$C$4:$C$6,MATCH(D65,Config!$A$4:$A$6,0)))*INDEX(Config!$G$4:$G$5,MATCH(C65,Config!$E$4:$E$5,0))),0))))</f>
        <v>0</v>
      </c>
      <c r="J65" s="13">
        <f t="shared" si="0"/>
        <v>0</v>
      </c>
      <c r="K65" s="12"/>
      <c r="L65" s="13">
        <f>IF(K65="",0,IF(K65&gt;=Config!$B$12,0,IF(K65&gt;Config!$F$14,INDEX(Config!$H$4:$H$5,MATCH(C65,Config!$E$4:$E$5,0))*Config!$F$11,INDEX(Config!$H$4:$H$5,MATCH(C65,Config!$E$4:$E$5,0)))))</f>
        <v>0</v>
      </c>
      <c r="M65" s="13">
        <f>IF(K65="",0,IF(K65&gt;=Config!$B$12,0,IF(K65&gt;=0.96,0,IF(K65&gt;=0.9,Config!$F$12,Config!$F$13))))</f>
        <v>0</v>
      </c>
      <c r="O65" s="11">
        <f>IF(N65="Pass",IFERROR(INDEX(Config!$I$4:$I$5,MATCH(C65,Config!$E$4:$E$5,0)),0),0)</f>
        <v>0</v>
      </c>
      <c r="P65" s="13">
        <f t="shared" si="1"/>
        <v>0</v>
      </c>
      <c r="Q65" s="11" t="str">
        <f t="shared" si="2"/>
        <v/>
      </c>
      <c r="R65" s="11" t="str">
        <f t="shared" si="3"/>
        <v/>
      </c>
    </row>
    <row r="66" spans="1:18" x14ac:dyDescent="0.25">
      <c r="A66" s="10"/>
      <c r="F66" s="11">
        <f>IF(E66="Pass",IFERROR(INDEX(Config!$F$4:$F$5,MATCH(C66,Config!$E$4:$E$5,0)),0),0)</f>
        <v>0</v>
      </c>
      <c r="G66" s="12"/>
      <c r="H66" s="12" t="str">
        <f>IF(C66="Forecasting",IFERROR(INDEX(Config!$B$4:$B$6,MATCH(D66,Config!$A$4:$A$6,0)),""),"")</f>
        <v/>
      </c>
      <c r="I66" s="13">
        <f>IF(C66&lt;&gt;"Forecasting",0,IF(G66="",0,IF(ROUND(G66,4)&gt;=ROUND(H66,4),INDEX(Config!$G$4:$G$5,MATCH(C66,Config!$E$4:$E$5,0)),IF(ROUND(G66,4)&gt;=ROUND(H66-INDEX(Config!$C$4:$C$6,MATCH(D66,Config!$A$4:$A$6,0)),4),MAX(1,((G66-(H66-INDEX(Config!$C$4:$C$6,MATCH(D66,Config!$A$4:$A$6,0))))/INDEX(Config!$C$4:$C$6,MATCH(D66,Config!$A$4:$A$6,0)))*INDEX(Config!$G$4:$G$5,MATCH(C66,Config!$E$4:$E$5,0))),0))))</f>
        <v>0</v>
      </c>
      <c r="J66" s="13">
        <f t="shared" si="0"/>
        <v>0</v>
      </c>
      <c r="K66" s="12"/>
      <c r="L66" s="13">
        <f>IF(K66="",0,IF(K66&gt;=Config!$B$12,0,IF(K66&gt;Config!$F$14,INDEX(Config!$H$4:$H$5,MATCH(C66,Config!$E$4:$E$5,0))*Config!$F$11,INDEX(Config!$H$4:$H$5,MATCH(C66,Config!$E$4:$E$5,0)))))</f>
        <v>0</v>
      </c>
      <c r="M66" s="13">
        <f>IF(K66="",0,IF(K66&gt;=Config!$B$12,0,IF(K66&gt;=0.96,0,IF(K66&gt;=0.9,Config!$F$12,Config!$F$13))))</f>
        <v>0</v>
      </c>
      <c r="O66" s="11">
        <f>IF(N66="Pass",IFERROR(INDEX(Config!$I$4:$I$5,MATCH(C66,Config!$E$4:$E$5,0)),0),0)</f>
        <v>0</v>
      </c>
      <c r="P66" s="13">
        <f t="shared" si="1"/>
        <v>0</v>
      </c>
      <c r="Q66" s="11" t="str">
        <f t="shared" si="2"/>
        <v/>
      </c>
      <c r="R66" s="11" t="str">
        <f t="shared" si="3"/>
        <v/>
      </c>
    </row>
    <row r="67" spans="1:18" x14ac:dyDescent="0.25">
      <c r="A67" s="10"/>
      <c r="F67" s="11">
        <f>IF(E67="Pass",IFERROR(INDEX(Config!$F$4:$F$5,MATCH(C67,Config!$E$4:$E$5,0)),0),0)</f>
        <v>0</v>
      </c>
      <c r="G67" s="12"/>
      <c r="H67" s="12" t="str">
        <f>IF(C67="Forecasting",IFERROR(INDEX(Config!$B$4:$B$6,MATCH(D67,Config!$A$4:$A$6,0)),""),"")</f>
        <v/>
      </c>
      <c r="I67" s="13">
        <f>IF(C67&lt;&gt;"Forecasting",0,IF(G67="",0,IF(ROUND(G67,4)&gt;=ROUND(H67,4),INDEX(Config!$G$4:$G$5,MATCH(C67,Config!$E$4:$E$5,0)),IF(ROUND(G67,4)&gt;=ROUND(H67-INDEX(Config!$C$4:$C$6,MATCH(D67,Config!$A$4:$A$6,0)),4),MAX(1,((G67-(H67-INDEX(Config!$C$4:$C$6,MATCH(D67,Config!$A$4:$A$6,0))))/INDEX(Config!$C$4:$C$6,MATCH(D67,Config!$A$4:$A$6,0)))*INDEX(Config!$G$4:$G$5,MATCH(C67,Config!$E$4:$E$5,0))),0))))</f>
        <v>0</v>
      </c>
      <c r="J67" s="13">
        <f t="shared" ref="J67:J130" si="4">IF(AND(C67="Forecasting",G67&lt;&gt;"",G67&gt;H67),MIN(5,(G67-H67)/(1-H67)*5),0)</f>
        <v>0</v>
      </c>
      <c r="K67" s="12"/>
      <c r="L67" s="13">
        <f>IF(K67="",0,IF(K67&gt;=Config!$B$12,0,IF(K67&gt;Config!$F$14,INDEX(Config!$H$4:$H$5,MATCH(C67,Config!$E$4:$E$5,0))*Config!$F$11,INDEX(Config!$H$4:$H$5,MATCH(C67,Config!$E$4:$E$5,0)))))</f>
        <v>0</v>
      </c>
      <c r="M67" s="13">
        <f>IF(K67="",0,IF(K67&gt;=Config!$B$12,0,IF(K67&gt;=0.96,0,IF(K67&gt;=0.9,Config!$F$12,Config!$F$13))))</f>
        <v>0</v>
      </c>
      <c r="O67" s="11">
        <f>IF(N67="Pass",IFERROR(INDEX(Config!$I$4:$I$5,MATCH(C67,Config!$E$4:$E$5,0)),0),0)</f>
        <v>0</v>
      </c>
      <c r="P67" s="13">
        <f t="shared" ref="P67:P130" si="5">F67+I67+J67+L67+M67+O67</f>
        <v>0</v>
      </c>
      <c r="Q67" s="11" t="str">
        <f t="shared" ref="Q67:Q130" si="6">IF(A67="","",MONTH(A67))</f>
        <v/>
      </c>
      <c r="R67" s="11" t="str">
        <f t="shared" ref="R67:R130" si="7">IF(A67="","",YEAR(A67))</f>
        <v/>
      </c>
    </row>
    <row r="68" spans="1:18" x14ac:dyDescent="0.25">
      <c r="A68" s="10"/>
      <c r="F68" s="11">
        <f>IF(E68="Pass",IFERROR(INDEX(Config!$F$4:$F$5,MATCH(C68,Config!$E$4:$E$5,0)),0),0)</f>
        <v>0</v>
      </c>
      <c r="G68" s="12"/>
      <c r="H68" s="12" t="str">
        <f>IF(C68="Forecasting",IFERROR(INDEX(Config!$B$4:$B$6,MATCH(D68,Config!$A$4:$A$6,0)),""),"")</f>
        <v/>
      </c>
      <c r="I68" s="13">
        <f>IF(C68&lt;&gt;"Forecasting",0,IF(G68="",0,IF(ROUND(G68,4)&gt;=ROUND(H68,4),INDEX(Config!$G$4:$G$5,MATCH(C68,Config!$E$4:$E$5,0)),IF(ROUND(G68,4)&gt;=ROUND(H68-INDEX(Config!$C$4:$C$6,MATCH(D68,Config!$A$4:$A$6,0)),4),MAX(1,((G68-(H68-INDEX(Config!$C$4:$C$6,MATCH(D68,Config!$A$4:$A$6,0))))/INDEX(Config!$C$4:$C$6,MATCH(D68,Config!$A$4:$A$6,0)))*INDEX(Config!$G$4:$G$5,MATCH(C68,Config!$E$4:$E$5,0))),0))))</f>
        <v>0</v>
      </c>
      <c r="J68" s="13">
        <f t="shared" si="4"/>
        <v>0</v>
      </c>
      <c r="K68" s="12"/>
      <c r="L68" s="13">
        <f>IF(K68="",0,IF(K68&gt;=Config!$B$12,0,IF(K68&gt;Config!$F$14,INDEX(Config!$H$4:$H$5,MATCH(C68,Config!$E$4:$E$5,0))*Config!$F$11,INDEX(Config!$H$4:$H$5,MATCH(C68,Config!$E$4:$E$5,0)))))</f>
        <v>0</v>
      </c>
      <c r="M68" s="13">
        <f>IF(K68="",0,IF(K68&gt;=Config!$B$12,0,IF(K68&gt;=0.96,0,IF(K68&gt;=0.9,Config!$F$12,Config!$F$13))))</f>
        <v>0</v>
      </c>
      <c r="O68" s="11">
        <f>IF(N68="Pass",IFERROR(INDEX(Config!$I$4:$I$5,MATCH(C68,Config!$E$4:$E$5,0)),0),0)</f>
        <v>0</v>
      </c>
      <c r="P68" s="13">
        <f t="shared" si="5"/>
        <v>0</v>
      </c>
      <c r="Q68" s="11" t="str">
        <f t="shared" si="6"/>
        <v/>
      </c>
      <c r="R68" s="11" t="str">
        <f t="shared" si="7"/>
        <v/>
      </c>
    </row>
    <row r="69" spans="1:18" x14ac:dyDescent="0.25">
      <c r="A69" s="10"/>
      <c r="F69" s="11">
        <f>IF(E69="Pass",IFERROR(INDEX(Config!$F$4:$F$5,MATCH(C69,Config!$E$4:$E$5,0)),0),0)</f>
        <v>0</v>
      </c>
      <c r="G69" s="12"/>
      <c r="H69" s="12" t="str">
        <f>IF(C69="Forecasting",IFERROR(INDEX(Config!$B$4:$B$6,MATCH(D69,Config!$A$4:$A$6,0)),""),"")</f>
        <v/>
      </c>
      <c r="I69" s="13">
        <f>IF(C69&lt;&gt;"Forecasting",0,IF(G69="",0,IF(ROUND(G69,4)&gt;=ROUND(H69,4),INDEX(Config!$G$4:$G$5,MATCH(C69,Config!$E$4:$E$5,0)),IF(ROUND(G69,4)&gt;=ROUND(H69-INDEX(Config!$C$4:$C$6,MATCH(D69,Config!$A$4:$A$6,0)),4),MAX(1,((G69-(H69-INDEX(Config!$C$4:$C$6,MATCH(D69,Config!$A$4:$A$6,0))))/INDEX(Config!$C$4:$C$6,MATCH(D69,Config!$A$4:$A$6,0)))*INDEX(Config!$G$4:$G$5,MATCH(C69,Config!$E$4:$E$5,0))),0))))</f>
        <v>0</v>
      </c>
      <c r="J69" s="13">
        <f t="shared" si="4"/>
        <v>0</v>
      </c>
      <c r="K69" s="12"/>
      <c r="L69" s="13">
        <f>IF(K69="",0,IF(K69&gt;=Config!$B$12,0,IF(K69&gt;Config!$F$14,INDEX(Config!$H$4:$H$5,MATCH(C69,Config!$E$4:$E$5,0))*Config!$F$11,INDEX(Config!$H$4:$H$5,MATCH(C69,Config!$E$4:$E$5,0)))))</f>
        <v>0</v>
      </c>
      <c r="M69" s="13">
        <f>IF(K69="",0,IF(K69&gt;=Config!$B$12,0,IF(K69&gt;=0.96,0,IF(K69&gt;=0.9,Config!$F$12,Config!$F$13))))</f>
        <v>0</v>
      </c>
      <c r="O69" s="11">
        <f>IF(N69="Pass",IFERROR(INDEX(Config!$I$4:$I$5,MATCH(C69,Config!$E$4:$E$5,0)),0),0)</f>
        <v>0</v>
      </c>
      <c r="P69" s="13">
        <f t="shared" si="5"/>
        <v>0</v>
      </c>
      <c r="Q69" s="11" t="str">
        <f t="shared" si="6"/>
        <v/>
      </c>
      <c r="R69" s="11" t="str">
        <f t="shared" si="7"/>
        <v/>
      </c>
    </row>
    <row r="70" spans="1:18" x14ac:dyDescent="0.25">
      <c r="A70" s="10"/>
      <c r="F70" s="11">
        <f>IF(E70="Pass",IFERROR(INDEX(Config!$F$4:$F$5,MATCH(C70,Config!$E$4:$E$5,0)),0),0)</f>
        <v>0</v>
      </c>
      <c r="G70" s="12"/>
      <c r="H70" s="12" t="str">
        <f>IF(C70="Forecasting",IFERROR(INDEX(Config!$B$4:$B$6,MATCH(D70,Config!$A$4:$A$6,0)),""),"")</f>
        <v/>
      </c>
      <c r="I70" s="13">
        <f>IF(C70&lt;&gt;"Forecasting",0,IF(G70="",0,IF(ROUND(G70,4)&gt;=ROUND(H70,4),INDEX(Config!$G$4:$G$5,MATCH(C70,Config!$E$4:$E$5,0)),IF(ROUND(G70,4)&gt;=ROUND(H70-INDEX(Config!$C$4:$C$6,MATCH(D70,Config!$A$4:$A$6,0)),4),MAX(1,((G70-(H70-INDEX(Config!$C$4:$C$6,MATCH(D70,Config!$A$4:$A$6,0))))/INDEX(Config!$C$4:$C$6,MATCH(D70,Config!$A$4:$A$6,0)))*INDEX(Config!$G$4:$G$5,MATCH(C70,Config!$E$4:$E$5,0))),0))))</f>
        <v>0</v>
      </c>
      <c r="J70" s="13">
        <f t="shared" si="4"/>
        <v>0</v>
      </c>
      <c r="K70" s="12"/>
      <c r="L70" s="13">
        <f>IF(K70="",0,IF(K70&gt;=Config!$B$12,0,IF(K70&gt;Config!$F$14,INDEX(Config!$H$4:$H$5,MATCH(C70,Config!$E$4:$E$5,0))*Config!$F$11,INDEX(Config!$H$4:$H$5,MATCH(C70,Config!$E$4:$E$5,0)))))</f>
        <v>0</v>
      </c>
      <c r="M70" s="13">
        <f>IF(K70="",0,IF(K70&gt;=Config!$B$12,0,IF(K70&gt;=0.96,0,IF(K70&gt;=0.9,Config!$F$12,Config!$F$13))))</f>
        <v>0</v>
      </c>
      <c r="O70" s="11">
        <f>IF(N70="Pass",IFERROR(INDEX(Config!$I$4:$I$5,MATCH(C70,Config!$E$4:$E$5,0)),0),0)</f>
        <v>0</v>
      </c>
      <c r="P70" s="13">
        <f t="shared" si="5"/>
        <v>0</v>
      </c>
      <c r="Q70" s="11" t="str">
        <f t="shared" si="6"/>
        <v/>
      </c>
      <c r="R70" s="11" t="str">
        <f t="shared" si="7"/>
        <v/>
      </c>
    </row>
    <row r="71" spans="1:18" x14ac:dyDescent="0.25">
      <c r="A71" s="10"/>
      <c r="F71" s="11">
        <f>IF(E71="Pass",IFERROR(INDEX(Config!$F$4:$F$5,MATCH(C71,Config!$E$4:$E$5,0)),0),0)</f>
        <v>0</v>
      </c>
      <c r="G71" s="12"/>
      <c r="H71" s="12" t="str">
        <f>IF(C71="Forecasting",IFERROR(INDEX(Config!$B$4:$B$6,MATCH(D71,Config!$A$4:$A$6,0)),""),"")</f>
        <v/>
      </c>
      <c r="I71" s="13">
        <f>IF(C71&lt;&gt;"Forecasting",0,IF(G71="",0,IF(ROUND(G71,4)&gt;=ROUND(H71,4),INDEX(Config!$G$4:$G$5,MATCH(C71,Config!$E$4:$E$5,0)),IF(ROUND(G71,4)&gt;=ROUND(H71-INDEX(Config!$C$4:$C$6,MATCH(D71,Config!$A$4:$A$6,0)),4),MAX(1,((G71-(H71-INDEX(Config!$C$4:$C$6,MATCH(D71,Config!$A$4:$A$6,0))))/INDEX(Config!$C$4:$C$6,MATCH(D71,Config!$A$4:$A$6,0)))*INDEX(Config!$G$4:$G$5,MATCH(C71,Config!$E$4:$E$5,0))),0))))</f>
        <v>0</v>
      </c>
      <c r="J71" s="13">
        <f t="shared" si="4"/>
        <v>0</v>
      </c>
      <c r="K71" s="12"/>
      <c r="L71" s="13">
        <f>IF(K71="",0,IF(K71&gt;=Config!$B$12,0,IF(K71&gt;Config!$F$14,INDEX(Config!$H$4:$H$5,MATCH(C71,Config!$E$4:$E$5,0))*Config!$F$11,INDEX(Config!$H$4:$H$5,MATCH(C71,Config!$E$4:$E$5,0)))))</f>
        <v>0</v>
      </c>
      <c r="M71" s="13">
        <f>IF(K71="",0,IF(K71&gt;=Config!$B$12,0,IF(K71&gt;=0.96,0,IF(K71&gt;=0.9,Config!$F$12,Config!$F$13))))</f>
        <v>0</v>
      </c>
      <c r="O71" s="11">
        <f>IF(N71="Pass",IFERROR(INDEX(Config!$I$4:$I$5,MATCH(C71,Config!$E$4:$E$5,0)),0),0)</f>
        <v>0</v>
      </c>
      <c r="P71" s="13">
        <f t="shared" si="5"/>
        <v>0</v>
      </c>
      <c r="Q71" s="11" t="str">
        <f t="shared" si="6"/>
        <v/>
      </c>
      <c r="R71" s="11" t="str">
        <f t="shared" si="7"/>
        <v/>
      </c>
    </row>
    <row r="72" spans="1:18" x14ac:dyDescent="0.25">
      <c r="A72" s="10"/>
      <c r="F72" s="11">
        <f>IF(E72="Pass",IFERROR(INDEX(Config!$F$4:$F$5,MATCH(C72,Config!$E$4:$E$5,0)),0),0)</f>
        <v>0</v>
      </c>
      <c r="G72" s="12"/>
      <c r="H72" s="12" t="str">
        <f>IF(C72="Forecasting",IFERROR(INDEX(Config!$B$4:$B$6,MATCH(D72,Config!$A$4:$A$6,0)),""),"")</f>
        <v/>
      </c>
      <c r="I72" s="13">
        <f>IF(C72&lt;&gt;"Forecasting",0,IF(G72="",0,IF(ROUND(G72,4)&gt;=ROUND(H72,4),INDEX(Config!$G$4:$G$5,MATCH(C72,Config!$E$4:$E$5,0)),IF(ROUND(G72,4)&gt;=ROUND(H72-INDEX(Config!$C$4:$C$6,MATCH(D72,Config!$A$4:$A$6,0)),4),MAX(1,((G72-(H72-INDEX(Config!$C$4:$C$6,MATCH(D72,Config!$A$4:$A$6,0))))/INDEX(Config!$C$4:$C$6,MATCH(D72,Config!$A$4:$A$6,0)))*INDEX(Config!$G$4:$G$5,MATCH(C72,Config!$E$4:$E$5,0))),0))))</f>
        <v>0</v>
      </c>
      <c r="J72" s="13">
        <f t="shared" si="4"/>
        <v>0</v>
      </c>
      <c r="K72" s="12"/>
      <c r="L72" s="13">
        <f>IF(K72="",0,IF(K72&gt;=Config!$B$12,0,IF(K72&gt;Config!$F$14,INDEX(Config!$H$4:$H$5,MATCH(C72,Config!$E$4:$E$5,0))*Config!$F$11,INDEX(Config!$H$4:$H$5,MATCH(C72,Config!$E$4:$E$5,0)))))</f>
        <v>0</v>
      </c>
      <c r="M72" s="13">
        <f>IF(K72="",0,IF(K72&gt;=Config!$B$12,0,IF(K72&gt;=0.96,0,IF(K72&gt;=0.9,Config!$F$12,Config!$F$13))))</f>
        <v>0</v>
      </c>
      <c r="O72" s="11">
        <f>IF(N72="Pass",IFERROR(INDEX(Config!$I$4:$I$5,MATCH(C72,Config!$E$4:$E$5,0)),0),0)</f>
        <v>0</v>
      </c>
      <c r="P72" s="13">
        <f t="shared" si="5"/>
        <v>0</v>
      </c>
      <c r="Q72" s="11" t="str">
        <f t="shared" si="6"/>
        <v/>
      </c>
      <c r="R72" s="11" t="str">
        <f t="shared" si="7"/>
        <v/>
      </c>
    </row>
    <row r="73" spans="1:18" x14ac:dyDescent="0.25">
      <c r="A73" s="10"/>
      <c r="F73" s="11">
        <f>IF(E73="Pass",IFERROR(INDEX(Config!$F$4:$F$5,MATCH(C73,Config!$E$4:$E$5,0)),0),0)</f>
        <v>0</v>
      </c>
      <c r="G73" s="12"/>
      <c r="H73" s="12" t="str">
        <f>IF(C73="Forecasting",IFERROR(INDEX(Config!$B$4:$B$6,MATCH(D73,Config!$A$4:$A$6,0)),""),"")</f>
        <v/>
      </c>
      <c r="I73" s="13">
        <f>IF(C73&lt;&gt;"Forecasting",0,IF(G73="",0,IF(ROUND(G73,4)&gt;=ROUND(H73,4),INDEX(Config!$G$4:$G$5,MATCH(C73,Config!$E$4:$E$5,0)),IF(ROUND(G73,4)&gt;=ROUND(H73-INDEX(Config!$C$4:$C$6,MATCH(D73,Config!$A$4:$A$6,0)),4),MAX(1,((G73-(H73-INDEX(Config!$C$4:$C$6,MATCH(D73,Config!$A$4:$A$6,0))))/INDEX(Config!$C$4:$C$6,MATCH(D73,Config!$A$4:$A$6,0)))*INDEX(Config!$G$4:$G$5,MATCH(C73,Config!$E$4:$E$5,0))),0))))</f>
        <v>0</v>
      </c>
      <c r="J73" s="13">
        <f t="shared" si="4"/>
        <v>0</v>
      </c>
      <c r="K73" s="12"/>
      <c r="L73" s="13">
        <f>IF(K73="",0,IF(K73&gt;=Config!$B$12,0,IF(K73&gt;Config!$F$14,INDEX(Config!$H$4:$H$5,MATCH(C73,Config!$E$4:$E$5,0))*Config!$F$11,INDEX(Config!$H$4:$H$5,MATCH(C73,Config!$E$4:$E$5,0)))))</f>
        <v>0</v>
      </c>
      <c r="M73" s="13">
        <f>IF(K73="",0,IF(K73&gt;=Config!$B$12,0,IF(K73&gt;=0.96,0,IF(K73&gt;=0.9,Config!$F$12,Config!$F$13))))</f>
        <v>0</v>
      </c>
      <c r="O73" s="11">
        <f>IF(N73="Pass",IFERROR(INDEX(Config!$I$4:$I$5,MATCH(C73,Config!$E$4:$E$5,0)),0),0)</f>
        <v>0</v>
      </c>
      <c r="P73" s="13">
        <f t="shared" si="5"/>
        <v>0</v>
      </c>
      <c r="Q73" s="11" t="str">
        <f t="shared" si="6"/>
        <v/>
      </c>
      <c r="R73" s="11" t="str">
        <f t="shared" si="7"/>
        <v/>
      </c>
    </row>
    <row r="74" spans="1:18" x14ac:dyDescent="0.25">
      <c r="A74" s="10"/>
      <c r="F74" s="11">
        <f>IF(E74="Pass",IFERROR(INDEX(Config!$F$4:$F$5,MATCH(C74,Config!$E$4:$E$5,0)),0),0)</f>
        <v>0</v>
      </c>
      <c r="G74" s="12"/>
      <c r="H74" s="12" t="str">
        <f>IF(C74="Forecasting",IFERROR(INDEX(Config!$B$4:$B$6,MATCH(D74,Config!$A$4:$A$6,0)),""),"")</f>
        <v/>
      </c>
      <c r="I74" s="13">
        <f>IF(C74&lt;&gt;"Forecasting",0,IF(G74="",0,IF(ROUND(G74,4)&gt;=ROUND(H74,4),INDEX(Config!$G$4:$G$5,MATCH(C74,Config!$E$4:$E$5,0)),IF(ROUND(G74,4)&gt;=ROUND(H74-INDEX(Config!$C$4:$C$6,MATCH(D74,Config!$A$4:$A$6,0)),4),MAX(1,((G74-(H74-INDEX(Config!$C$4:$C$6,MATCH(D74,Config!$A$4:$A$6,0))))/INDEX(Config!$C$4:$C$6,MATCH(D74,Config!$A$4:$A$6,0)))*INDEX(Config!$G$4:$G$5,MATCH(C74,Config!$E$4:$E$5,0))),0))))</f>
        <v>0</v>
      </c>
      <c r="J74" s="13">
        <f t="shared" si="4"/>
        <v>0</v>
      </c>
      <c r="K74" s="12"/>
      <c r="L74" s="13">
        <f>IF(K74="",0,IF(K74&gt;=Config!$B$12,0,IF(K74&gt;Config!$F$14,INDEX(Config!$H$4:$H$5,MATCH(C74,Config!$E$4:$E$5,0))*Config!$F$11,INDEX(Config!$H$4:$H$5,MATCH(C74,Config!$E$4:$E$5,0)))))</f>
        <v>0</v>
      </c>
      <c r="M74" s="13">
        <f>IF(K74="",0,IF(K74&gt;=Config!$B$12,0,IF(K74&gt;=0.96,0,IF(K74&gt;=0.9,Config!$F$12,Config!$F$13))))</f>
        <v>0</v>
      </c>
      <c r="O74" s="11">
        <f>IF(N74="Pass",IFERROR(INDEX(Config!$I$4:$I$5,MATCH(C74,Config!$E$4:$E$5,0)),0),0)</f>
        <v>0</v>
      </c>
      <c r="P74" s="13">
        <f t="shared" si="5"/>
        <v>0</v>
      </c>
      <c r="Q74" s="11" t="str">
        <f t="shared" si="6"/>
        <v/>
      </c>
      <c r="R74" s="11" t="str">
        <f t="shared" si="7"/>
        <v/>
      </c>
    </row>
    <row r="75" spans="1:18" x14ac:dyDescent="0.25">
      <c r="A75" s="10"/>
      <c r="F75" s="11">
        <f>IF(E75="Pass",IFERROR(INDEX(Config!$F$4:$F$5,MATCH(C75,Config!$E$4:$E$5,0)),0),0)</f>
        <v>0</v>
      </c>
      <c r="G75" s="12"/>
      <c r="H75" s="12" t="str">
        <f>IF(C75="Forecasting",IFERROR(INDEX(Config!$B$4:$B$6,MATCH(D75,Config!$A$4:$A$6,0)),""),"")</f>
        <v/>
      </c>
      <c r="I75" s="13">
        <f>IF(C75&lt;&gt;"Forecasting",0,IF(G75="",0,IF(ROUND(G75,4)&gt;=ROUND(H75,4),INDEX(Config!$G$4:$G$5,MATCH(C75,Config!$E$4:$E$5,0)),IF(ROUND(G75,4)&gt;=ROUND(H75-INDEX(Config!$C$4:$C$6,MATCH(D75,Config!$A$4:$A$6,0)),4),MAX(1,((G75-(H75-INDEX(Config!$C$4:$C$6,MATCH(D75,Config!$A$4:$A$6,0))))/INDEX(Config!$C$4:$C$6,MATCH(D75,Config!$A$4:$A$6,0)))*INDEX(Config!$G$4:$G$5,MATCH(C75,Config!$E$4:$E$5,0))),0))))</f>
        <v>0</v>
      </c>
      <c r="J75" s="13">
        <f t="shared" si="4"/>
        <v>0</v>
      </c>
      <c r="K75" s="12"/>
      <c r="L75" s="13">
        <f>IF(K75="",0,IF(K75&gt;=Config!$B$12,0,IF(K75&gt;Config!$F$14,INDEX(Config!$H$4:$H$5,MATCH(C75,Config!$E$4:$E$5,0))*Config!$F$11,INDEX(Config!$H$4:$H$5,MATCH(C75,Config!$E$4:$E$5,0)))))</f>
        <v>0</v>
      </c>
      <c r="M75" s="13">
        <f>IF(K75="",0,IF(K75&gt;=Config!$B$12,0,IF(K75&gt;=0.96,0,IF(K75&gt;=0.9,Config!$F$12,Config!$F$13))))</f>
        <v>0</v>
      </c>
      <c r="O75" s="11">
        <f>IF(N75="Pass",IFERROR(INDEX(Config!$I$4:$I$5,MATCH(C75,Config!$E$4:$E$5,0)),0),0)</f>
        <v>0</v>
      </c>
      <c r="P75" s="13">
        <f t="shared" si="5"/>
        <v>0</v>
      </c>
      <c r="Q75" s="11" t="str">
        <f t="shared" si="6"/>
        <v/>
      </c>
      <c r="R75" s="11" t="str">
        <f t="shared" si="7"/>
        <v/>
      </c>
    </row>
    <row r="76" spans="1:18" x14ac:dyDescent="0.25">
      <c r="A76" s="10"/>
      <c r="F76" s="11">
        <f>IF(E76="Pass",IFERROR(INDEX(Config!$F$4:$F$5,MATCH(C76,Config!$E$4:$E$5,0)),0),0)</f>
        <v>0</v>
      </c>
      <c r="G76" s="12"/>
      <c r="H76" s="12" t="str">
        <f>IF(C76="Forecasting",IFERROR(INDEX(Config!$B$4:$B$6,MATCH(D76,Config!$A$4:$A$6,0)),""),"")</f>
        <v/>
      </c>
      <c r="I76" s="13">
        <f>IF(C76&lt;&gt;"Forecasting",0,IF(G76="",0,IF(ROUND(G76,4)&gt;=ROUND(H76,4),INDEX(Config!$G$4:$G$5,MATCH(C76,Config!$E$4:$E$5,0)),IF(ROUND(G76,4)&gt;=ROUND(H76-INDEX(Config!$C$4:$C$6,MATCH(D76,Config!$A$4:$A$6,0)),4),MAX(1,((G76-(H76-INDEX(Config!$C$4:$C$6,MATCH(D76,Config!$A$4:$A$6,0))))/INDEX(Config!$C$4:$C$6,MATCH(D76,Config!$A$4:$A$6,0)))*INDEX(Config!$G$4:$G$5,MATCH(C76,Config!$E$4:$E$5,0))),0))))</f>
        <v>0</v>
      </c>
      <c r="J76" s="13">
        <f t="shared" si="4"/>
        <v>0</v>
      </c>
      <c r="K76" s="12"/>
      <c r="L76" s="13">
        <f>IF(K76="",0,IF(K76&gt;=Config!$B$12,0,IF(K76&gt;Config!$F$14,INDEX(Config!$H$4:$H$5,MATCH(C76,Config!$E$4:$E$5,0))*Config!$F$11,INDEX(Config!$H$4:$H$5,MATCH(C76,Config!$E$4:$E$5,0)))))</f>
        <v>0</v>
      </c>
      <c r="M76" s="13">
        <f>IF(K76="",0,IF(K76&gt;=Config!$B$12,0,IF(K76&gt;=0.96,0,IF(K76&gt;=0.9,Config!$F$12,Config!$F$13))))</f>
        <v>0</v>
      </c>
      <c r="O76" s="11">
        <f>IF(N76="Pass",IFERROR(INDEX(Config!$I$4:$I$5,MATCH(C76,Config!$E$4:$E$5,0)),0),0)</f>
        <v>0</v>
      </c>
      <c r="P76" s="13">
        <f t="shared" si="5"/>
        <v>0</v>
      </c>
      <c r="Q76" s="11" t="str">
        <f t="shared" si="6"/>
        <v/>
      </c>
      <c r="R76" s="11" t="str">
        <f t="shared" si="7"/>
        <v/>
      </c>
    </row>
    <row r="77" spans="1:18" x14ac:dyDescent="0.25">
      <c r="A77" s="10"/>
      <c r="F77" s="11">
        <f>IF(E77="Pass",IFERROR(INDEX(Config!$F$4:$F$5,MATCH(C77,Config!$E$4:$E$5,0)),0),0)</f>
        <v>0</v>
      </c>
      <c r="G77" s="12"/>
      <c r="H77" s="12" t="str">
        <f>IF(C77="Forecasting",IFERROR(INDEX(Config!$B$4:$B$6,MATCH(D77,Config!$A$4:$A$6,0)),""),"")</f>
        <v/>
      </c>
      <c r="I77" s="13">
        <f>IF(C77&lt;&gt;"Forecasting",0,IF(G77="",0,IF(ROUND(G77,4)&gt;=ROUND(H77,4),INDEX(Config!$G$4:$G$5,MATCH(C77,Config!$E$4:$E$5,0)),IF(ROUND(G77,4)&gt;=ROUND(H77-INDEX(Config!$C$4:$C$6,MATCH(D77,Config!$A$4:$A$6,0)),4),MAX(1,((G77-(H77-INDEX(Config!$C$4:$C$6,MATCH(D77,Config!$A$4:$A$6,0))))/INDEX(Config!$C$4:$C$6,MATCH(D77,Config!$A$4:$A$6,0)))*INDEX(Config!$G$4:$G$5,MATCH(C77,Config!$E$4:$E$5,0))),0))))</f>
        <v>0</v>
      </c>
      <c r="J77" s="13">
        <f t="shared" si="4"/>
        <v>0</v>
      </c>
      <c r="K77" s="12"/>
      <c r="L77" s="13">
        <f>IF(K77="",0,IF(K77&gt;=Config!$B$12,0,IF(K77&gt;Config!$F$14,INDEX(Config!$H$4:$H$5,MATCH(C77,Config!$E$4:$E$5,0))*Config!$F$11,INDEX(Config!$H$4:$H$5,MATCH(C77,Config!$E$4:$E$5,0)))))</f>
        <v>0</v>
      </c>
      <c r="M77" s="13">
        <f>IF(K77="",0,IF(K77&gt;=Config!$B$12,0,IF(K77&gt;=0.96,0,IF(K77&gt;=0.9,Config!$F$12,Config!$F$13))))</f>
        <v>0</v>
      </c>
      <c r="O77" s="11">
        <f>IF(N77="Pass",IFERROR(INDEX(Config!$I$4:$I$5,MATCH(C77,Config!$E$4:$E$5,0)),0),0)</f>
        <v>0</v>
      </c>
      <c r="P77" s="13">
        <f t="shared" si="5"/>
        <v>0</v>
      </c>
      <c r="Q77" s="11" t="str">
        <f t="shared" si="6"/>
        <v/>
      </c>
      <c r="R77" s="11" t="str">
        <f t="shared" si="7"/>
        <v/>
      </c>
    </row>
    <row r="78" spans="1:18" x14ac:dyDescent="0.25">
      <c r="A78" s="10"/>
      <c r="F78" s="11">
        <f>IF(E78="Pass",IFERROR(INDEX(Config!$F$4:$F$5,MATCH(C78,Config!$E$4:$E$5,0)),0),0)</f>
        <v>0</v>
      </c>
      <c r="G78" s="12"/>
      <c r="H78" s="12" t="str">
        <f>IF(C78="Forecasting",IFERROR(INDEX(Config!$B$4:$B$6,MATCH(D78,Config!$A$4:$A$6,0)),""),"")</f>
        <v/>
      </c>
      <c r="I78" s="13">
        <f>IF(C78&lt;&gt;"Forecasting",0,IF(G78="",0,IF(ROUND(G78,4)&gt;=ROUND(H78,4),INDEX(Config!$G$4:$G$5,MATCH(C78,Config!$E$4:$E$5,0)),IF(ROUND(G78,4)&gt;=ROUND(H78-INDEX(Config!$C$4:$C$6,MATCH(D78,Config!$A$4:$A$6,0)),4),MAX(1,((G78-(H78-INDEX(Config!$C$4:$C$6,MATCH(D78,Config!$A$4:$A$6,0))))/INDEX(Config!$C$4:$C$6,MATCH(D78,Config!$A$4:$A$6,0)))*INDEX(Config!$G$4:$G$5,MATCH(C78,Config!$E$4:$E$5,0))),0))))</f>
        <v>0</v>
      </c>
      <c r="J78" s="13">
        <f t="shared" si="4"/>
        <v>0</v>
      </c>
      <c r="K78" s="12"/>
      <c r="L78" s="13">
        <f>IF(K78="",0,IF(K78&gt;=Config!$B$12,0,IF(K78&gt;Config!$F$14,INDEX(Config!$H$4:$H$5,MATCH(C78,Config!$E$4:$E$5,0))*Config!$F$11,INDEX(Config!$H$4:$H$5,MATCH(C78,Config!$E$4:$E$5,0)))))</f>
        <v>0</v>
      </c>
      <c r="M78" s="13">
        <f>IF(K78="",0,IF(K78&gt;=Config!$B$12,0,IF(K78&gt;=0.96,0,IF(K78&gt;=0.9,Config!$F$12,Config!$F$13))))</f>
        <v>0</v>
      </c>
      <c r="O78" s="11">
        <f>IF(N78="Pass",IFERROR(INDEX(Config!$I$4:$I$5,MATCH(C78,Config!$E$4:$E$5,0)),0),0)</f>
        <v>0</v>
      </c>
      <c r="P78" s="13">
        <f t="shared" si="5"/>
        <v>0</v>
      </c>
      <c r="Q78" s="11" t="str">
        <f t="shared" si="6"/>
        <v/>
      </c>
      <c r="R78" s="11" t="str">
        <f t="shared" si="7"/>
        <v/>
      </c>
    </row>
    <row r="79" spans="1:18" x14ac:dyDescent="0.25">
      <c r="A79" s="10"/>
      <c r="F79" s="11">
        <f>IF(E79="Pass",IFERROR(INDEX(Config!$F$4:$F$5,MATCH(C79,Config!$E$4:$E$5,0)),0),0)</f>
        <v>0</v>
      </c>
      <c r="G79" s="12"/>
      <c r="H79" s="12" t="str">
        <f>IF(C79="Forecasting",IFERROR(INDEX(Config!$B$4:$B$6,MATCH(D79,Config!$A$4:$A$6,0)),""),"")</f>
        <v/>
      </c>
      <c r="I79" s="13">
        <f>IF(C79&lt;&gt;"Forecasting",0,IF(G79="",0,IF(ROUND(G79,4)&gt;=ROUND(H79,4),INDEX(Config!$G$4:$G$5,MATCH(C79,Config!$E$4:$E$5,0)),IF(ROUND(G79,4)&gt;=ROUND(H79-INDEX(Config!$C$4:$C$6,MATCH(D79,Config!$A$4:$A$6,0)),4),MAX(1,((G79-(H79-INDEX(Config!$C$4:$C$6,MATCH(D79,Config!$A$4:$A$6,0))))/INDEX(Config!$C$4:$C$6,MATCH(D79,Config!$A$4:$A$6,0)))*INDEX(Config!$G$4:$G$5,MATCH(C79,Config!$E$4:$E$5,0))),0))))</f>
        <v>0</v>
      </c>
      <c r="J79" s="13">
        <f t="shared" si="4"/>
        <v>0</v>
      </c>
      <c r="K79" s="12"/>
      <c r="L79" s="13">
        <f>IF(K79="",0,IF(K79&gt;=Config!$B$12,0,IF(K79&gt;Config!$F$14,INDEX(Config!$H$4:$H$5,MATCH(C79,Config!$E$4:$E$5,0))*Config!$F$11,INDEX(Config!$H$4:$H$5,MATCH(C79,Config!$E$4:$E$5,0)))))</f>
        <v>0</v>
      </c>
      <c r="M79" s="13">
        <f>IF(K79="",0,IF(K79&gt;=Config!$B$12,0,IF(K79&gt;=0.96,0,IF(K79&gt;=0.9,Config!$F$12,Config!$F$13))))</f>
        <v>0</v>
      </c>
      <c r="O79" s="11">
        <f>IF(N79="Pass",IFERROR(INDEX(Config!$I$4:$I$5,MATCH(C79,Config!$E$4:$E$5,0)),0),0)</f>
        <v>0</v>
      </c>
      <c r="P79" s="13">
        <f t="shared" si="5"/>
        <v>0</v>
      </c>
      <c r="Q79" s="11" t="str">
        <f t="shared" si="6"/>
        <v/>
      </c>
      <c r="R79" s="11" t="str">
        <f t="shared" si="7"/>
        <v/>
      </c>
    </row>
    <row r="80" spans="1:18" x14ac:dyDescent="0.25">
      <c r="A80" s="10"/>
      <c r="F80" s="11">
        <f>IF(E80="Pass",IFERROR(INDEX(Config!$F$4:$F$5,MATCH(C80,Config!$E$4:$E$5,0)),0),0)</f>
        <v>0</v>
      </c>
      <c r="G80" s="12"/>
      <c r="H80" s="12" t="str">
        <f>IF(C80="Forecasting",IFERROR(INDEX(Config!$B$4:$B$6,MATCH(D80,Config!$A$4:$A$6,0)),""),"")</f>
        <v/>
      </c>
      <c r="I80" s="13">
        <f>IF(C80&lt;&gt;"Forecasting",0,IF(G80="",0,IF(ROUND(G80,4)&gt;=ROUND(H80,4),INDEX(Config!$G$4:$G$5,MATCH(C80,Config!$E$4:$E$5,0)),IF(ROUND(G80,4)&gt;=ROUND(H80-INDEX(Config!$C$4:$C$6,MATCH(D80,Config!$A$4:$A$6,0)),4),MAX(1,((G80-(H80-INDEX(Config!$C$4:$C$6,MATCH(D80,Config!$A$4:$A$6,0))))/INDEX(Config!$C$4:$C$6,MATCH(D80,Config!$A$4:$A$6,0)))*INDEX(Config!$G$4:$G$5,MATCH(C80,Config!$E$4:$E$5,0))),0))))</f>
        <v>0</v>
      </c>
      <c r="J80" s="13">
        <f t="shared" si="4"/>
        <v>0</v>
      </c>
      <c r="K80" s="12"/>
      <c r="L80" s="13">
        <f>IF(K80="",0,IF(K80&gt;=Config!$B$12,0,IF(K80&gt;Config!$F$14,INDEX(Config!$H$4:$H$5,MATCH(C80,Config!$E$4:$E$5,0))*Config!$F$11,INDEX(Config!$H$4:$H$5,MATCH(C80,Config!$E$4:$E$5,0)))))</f>
        <v>0</v>
      </c>
      <c r="M80" s="13">
        <f>IF(K80="",0,IF(K80&gt;=Config!$B$12,0,IF(K80&gt;=0.96,0,IF(K80&gt;=0.9,Config!$F$12,Config!$F$13))))</f>
        <v>0</v>
      </c>
      <c r="O80" s="11">
        <f>IF(N80="Pass",IFERROR(INDEX(Config!$I$4:$I$5,MATCH(C80,Config!$E$4:$E$5,0)),0),0)</f>
        <v>0</v>
      </c>
      <c r="P80" s="13">
        <f t="shared" si="5"/>
        <v>0</v>
      </c>
      <c r="Q80" s="11" t="str">
        <f t="shared" si="6"/>
        <v/>
      </c>
      <c r="R80" s="11" t="str">
        <f t="shared" si="7"/>
        <v/>
      </c>
    </row>
    <row r="81" spans="1:18" x14ac:dyDescent="0.25">
      <c r="A81" s="10"/>
      <c r="F81" s="11">
        <f>IF(E81="Pass",IFERROR(INDEX(Config!$F$4:$F$5,MATCH(C81,Config!$E$4:$E$5,0)),0),0)</f>
        <v>0</v>
      </c>
      <c r="G81" s="12"/>
      <c r="H81" s="12" t="str">
        <f>IF(C81="Forecasting",IFERROR(INDEX(Config!$B$4:$B$6,MATCH(D81,Config!$A$4:$A$6,0)),""),"")</f>
        <v/>
      </c>
      <c r="I81" s="13">
        <f>IF(C81&lt;&gt;"Forecasting",0,IF(G81="",0,IF(ROUND(G81,4)&gt;=ROUND(H81,4),INDEX(Config!$G$4:$G$5,MATCH(C81,Config!$E$4:$E$5,0)),IF(ROUND(G81,4)&gt;=ROUND(H81-INDEX(Config!$C$4:$C$6,MATCH(D81,Config!$A$4:$A$6,0)),4),MAX(1,((G81-(H81-INDEX(Config!$C$4:$C$6,MATCH(D81,Config!$A$4:$A$6,0))))/INDEX(Config!$C$4:$C$6,MATCH(D81,Config!$A$4:$A$6,0)))*INDEX(Config!$G$4:$G$5,MATCH(C81,Config!$E$4:$E$5,0))),0))))</f>
        <v>0</v>
      </c>
      <c r="J81" s="13">
        <f t="shared" si="4"/>
        <v>0</v>
      </c>
      <c r="K81" s="12"/>
      <c r="L81" s="13">
        <f>IF(K81="",0,IF(K81&gt;=Config!$B$12,0,IF(K81&gt;Config!$F$14,INDEX(Config!$H$4:$H$5,MATCH(C81,Config!$E$4:$E$5,0))*Config!$F$11,INDEX(Config!$H$4:$H$5,MATCH(C81,Config!$E$4:$E$5,0)))))</f>
        <v>0</v>
      </c>
      <c r="M81" s="13">
        <f>IF(K81="",0,IF(K81&gt;=Config!$B$12,0,IF(K81&gt;=0.96,0,IF(K81&gt;=0.9,Config!$F$12,Config!$F$13))))</f>
        <v>0</v>
      </c>
      <c r="O81" s="11">
        <f>IF(N81="Pass",IFERROR(INDEX(Config!$I$4:$I$5,MATCH(C81,Config!$E$4:$E$5,0)),0),0)</f>
        <v>0</v>
      </c>
      <c r="P81" s="13">
        <f t="shared" si="5"/>
        <v>0</v>
      </c>
      <c r="Q81" s="11" t="str">
        <f t="shared" si="6"/>
        <v/>
      </c>
      <c r="R81" s="11" t="str">
        <f t="shared" si="7"/>
        <v/>
      </c>
    </row>
    <row r="82" spans="1:18" x14ac:dyDescent="0.25">
      <c r="A82" s="10"/>
      <c r="F82" s="11">
        <f>IF(E82="Pass",IFERROR(INDEX(Config!$F$4:$F$5,MATCH(C82,Config!$E$4:$E$5,0)),0),0)</f>
        <v>0</v>
      </c>
      <c r="G82" s="12"/>
      <c r="H82" s="12" t="str">
        <f>IF(C82="Forecasting",IFERROR(INDEX(Config!$B$4:$B$6,MATCH(D82,Config!$A$4:$A$6,0)),""),"")</f>
        <v/>
      </c>
      <c r="I82" s="13">
        <f>IF(C82&lt;&gt;"Forecasting",0,IF(G82="",0,IF(ROUND(G82,4)&gt;=ROUND(H82,4),INDEX(Config!$G$4:$G$5,MATCH(C82,Config!$E$4:$E$5,0)),IF(ROUND(G82,4)&gt;=ROUND(H82-INDEX(Config!$C$4:$C$6,MATCH(D82,Config!$A$4:$A$6,0)),4),MAX(1,((G82-(H82-INDEX(Config!$C$4:$C$6,MATCH(D82,Config!$A$4:$A$6,0))))/INDEX(Config!$C$4:$C$6,MATCH(D82,Config!$A$4:$A$6,0)))*INDEX(Config!$G$4:$G$5,MATCH(C82,Config!$E$4:$E$5,0))),0))))</f>
        <v>0</v>
      </c>
      <c r="J82" s="13">
        <f t="shared" si="4"/>
        <v>0</v>
      </c>
      <c r="K82" s="12"/>
      <c r="L82" s="13">
        <f>IF(K82="",0,IF(K82&gt;=Config!$B$12,0,IF(K82&gt;Config!$F$14,INDEX(Config!$H$4:$H$5,MATCH(C82,Config!$E$4:$E$5,0))*Config!$F$11,INDEX(Config!$H$4:$H$5,MATCH(C82,Config!$E$4:$E$5,0)))))</f>
        <v>0</v>
      </c>
      <c r="M82" s="13">
        <f>IF(K82="",0,IF(K82&gt;=Config!$B$12,0,IF(K82&gt;=0.96,0,IF(K82&gt;=0.9,Config!$F$12,Config!$F$13))))</f>
        <v>0</v>
      </c>
      <c r="O82" s="11">
        <f>IF(N82="Pass",IFERROR(INDEX(Config!$I$4:$I$5,MATCH(C82,Config!$E$4:$E$5,0)),0),0)</f>
        <v>0</v>
      </c>
      <c r="P82" s="13">
        <f t="shared" si="5"/>
        <v>0</v>
      </c>
      <c r="Q82" s="11" t="str">
        <f t="shared" si="6"/>
        <v/>
      </c>
      <c r="R82" s="11" t="str">
        <f t="shared" si="7"/>
        <v/>
      </c>
    </row>
    <row r="83" spans="1:18" x14ac:dyDescent="0.25">
      <c r="A83" s="10"/>
      <c r="F83" s="11">
        <f>IF(E83="Pass",IFERROR(INDEX(Config!$F$4:$F$5,MATCH(C83,Config!$E$4:$E$5,0)),0),0)</f>
        <v>0</v>
      </c>
      <c r="G83" s="12"/>
      <c r="H83" s="12" t="str">
        <f>IF(C83="Forecasting",IFERROR(INDEX(Config!$B$4:$B$6,MATCH(D83,Config!$A$4:$A$6,0)),""),"")</f>
        <v/>
      </c>
      <c r="I83" s="13">
        <f>IF(C83&lt;&gt;"Forecasting",0,IF(G83="",0,IF(ROUND(G83,4)&gt;=ROUND(H83,4),INDEX(Config!$G$4:$G$5,MATCH(C83,Config!$E$4:$E$5,0)),IF(ROUND(G83,4)&gt;=ROUND(H83-INDEX(Config!$C$4:$C$6,MATCH(D83,Config!$A$4:$A$6,0)),4),MAX(1,((G83-(H83-INDEX(Config!$C$4:$C$6,MATCH(D83,Config!$A$4:$A$6,0))))/INDEX(Config!$C$4:$C$6,MATCH(D83,Config!$A$4:$A$6,0)))*INDEX(Config!$G$4:$G$5,MATCH(C83,Config!$E$4:$E$5,0))),0))))</f>
        <v>0</v>
      </c>
      <c r="J83" s="13">
        <f t="shared" si="4"/>
        <v>0</v>
      </c>
      <c r="K83" s="12"/>
      <c r="L83" s="13">
        <f>IF(K83="",0,IF(K83&gt;=Config!$B$12,0,IF(K83&gt;Config!$F$14,INDEX(Config!$H$4:$H$5,MATCH(C83,Config!$E$4:$E$5,0))*Config!$F$11,INDEX(Config!$H$4:$H$5,MATCH(C83,Config!$E$4:$E$5,0)))))</f>
        <v>0</v>
      </c>
      <c r="M83" s="13">
        <f>IF(K83="",0,IF(K83&gt;=Config!$B$12,0,IF(K83&gt;=0.96,0,IF(K83&gt;=0.9,Config!$F$12,Config!$F$13))))</f>
        <v>0</v>
      </c>
      <c r="O83" s="11">
        <f>IF(N83="Pass",IFERROR(INDEX(Config!$I$4:$I$5,MATCH(C83,Config!$E$4:$E$5,0)),0),0)</f>
        <v>0</v>
      </c>
      <c r="P83" s="13">
        <f t="shared" si="5"/>
        <v>0</v>
      </c>
      <c r="Q83" s="11" t="str">
        <f t="shared" si="6"/>
        <v/>
      </c>
      <c r="R83" s="11" t="str">
        <f t="shared" si="7"/>
        <v/>
      </c>
    </row>
    <row r="84" spans="1:18" x14ac:dyDescent="0.25">
      <c r="A84" s="10"/>
      <c r="F84" s="11">
        <f>IF(E84="Pass",IFERROR(INDEX(Config!$F$4:$F$5,MATCH(C84,Config!$E$4:$E$5,0)),0),0)</f>
        <v>0</v>
      </c>
      <c r="G84" s="12"/>
      <c r="H84" s="12" t="str">
        <f>IF(C84="Forecasting",IFERROR(INDEX(Config!$B$4:$B$6,MATCH(D84,Config!$A$4:$A$6,0)),""),"")</f>
        <v/>
      </c>
      <c r="I84" s="13">
        <f>IF(C84&lt;&gt;"Forecasting",0,IF(G84="",0,IF(ROUND(G84,4)&gt;=ROUND(H84,4),INDEX(Config!$G$4:$G$5,MATCH(C84,Config!$E$4:$E$5,0)),IF(ROUND(G84,4)&gt;=ROUND(H84-INDEX(Config!$C$4:$C$6,MATCH(D84,Config!$A$4:$A$6,0)),4),MAX(1,((G84-(H84-INDEX(Config!$C$4:$C$6,MATCH(D84,Config!$A$4:$A$6,0))))/INDEX(Config!$C$4:$C$6,MATCH(D84,Config!$A$4:$A$6,0)))*INDEX(Config!$G$4:$G$5,MATCH(C84,Config!$E$4:$E$5,0))),0))))</f>
        <v>0</v>
      </c>
      <c r="J84" s="13">
        <f t="shared" si="4"/>
        <v>0</v>
      </c>
      <c r="K84" s="12"/>
      <c r="L84" s="13">
        <f>IF(K84="",0,IF(K84&gt;=Config!$B$12,0,IF(K84&gt;Config!$F$14,INDEX(Config!$H$4:$H$5,MATCH(C84,Config!$E$4:$E$5,0))*Config!$F$11,INDEX(Config!$H$4:$H$5,MATCH(C84,Config!$E$4:$E$5,0)))))</f>
        <v>0</v>
      </c>
      <c r="M84" s="13">
        <f>IF(K84="",0,IF(K84&gt;=Config!$B$12,0,IF(K84&gt;=0.96,0,IF(K84&gt;=0.9,Config!$F$12,Config!$F$13))))</f>
        <v>0</v>
      </c>
      <c r="O84" s="11">
        <f>IF(N84="Pass",IFERROR(INDEX(Config!$I$4:$I$5,MATCH(C84,Config!$E$4:$E$5,0)),0),0)</f>
        <v>0</v>
      </c>
      <c r="P84" s="13">
        <f t="shared" si="5"/>
        <v>0</v>
      </c>
      <c r="Q84" s="11" t="str">
        <f t="shared" si="6"/>
        <v/>
      </c>
      <c r="R84" s="11" t="str">
        <f t="shared" si="7"/>
        <v/>
      </c>
    </row>
    <row r="85" spans="1:18" x14ac:dyDescent="0.25">
      <c r="A85" s="10"/>
      <c r="F85" s="11">
        <f>IF(E85="Pass",IFERROR(INDEX(Config!$F$4:$F$5,MATCH(C85,Config!$E$4:$E$5,0)),0),0)</f>
        <v>0</v>
      </c>
      <c r="G85" s="12"/>
      <c r="H85" s="12" t="str">
        <f>IF(C85="Forecasting",IFERROR(INDEX(Config!$B$4:$B$6,MATCH(D85,Config!$A$4:$A$6,0)),""),"")</f>
        <v/>
      </c>
      <c r="I85" s="13">
        <f>IF(C85&lt;&gt;"Forecasting",0,IF(G85="",0,IF(ROUND(G85,4)&gt;=ROUND(H85,4),INDEX(Config!$G$4:$G$5,MATCH(C85,Config!$E$4:$E$5,0)),IF(ROUND(G85,4)&gt;=ROUND(H85-INDEX(Config!$C$4:$C$6,MATCH(D85,Config!$A$4:$A$6,0)),4),MAX(1,((G85-(H85-INDEX(Config!$C$4:$C$6,MATCH(D85,Config!$A$4:$A$6,0))))/INDEX(Config!$C$4:$C$6,MATCH(D85,Config!$A$4:$A$6,0)))*INDEX(Config!$G$4:$G$5,MATCH(C85,Config!$E$4:$E$5,0))),0))))</f>
        <v>0</v>
      </c>
      <c r="J85" s="13">
        <f t="shared" si="4"/>
        <v>0</v>
      </c>
      <c r="K85" s="12"/>
      <c r="L85" s="13">
        <f>IF(K85="",0,IF(K85&gt;=Config!$B$12,0,IF(K85&gt;Config!$F$14,INDEX(Config!$H$4:$H$5,MATCH(C85,Config!$E$4:$E$5,0))*Config!$F$11,INDEX(Config!$H$4:$H$5,MATCH(C85,Config!$E$4:$E$5,0)))))</f>
        <v>0</v>
      </c>
      <c r="M85" s="13">
        <f>IF(K85="",0,IF(K85&gt;=Config!$B$12,0,IF(K85&gt;=0.96,0,IF(K85&gt;=0.9,Config!$F$12,Config!$F$13))))</f>
        <v>0</v>
      </c>
      <c r="O85" s="11">
        <f>IF(N85="Pass",IFERROR(INDEX(Config!$I$4:$I$5,MATCH(C85,Config!$E$4:$E$5,0)),0),0)</f>
        <v>0</v>
      </c>
      <c r="P85" s="13">
        <f t="shared" si="5"/>
        <v>0</v>
      </c>
      <c r="Q85" s="11" t="str">
        <f t="shared" si="6"/>
        <v/>
      </c>
      <c r="R85" s="11" t="str">
        <f t="shared" si="7"/>
        <v/>
      </c>
    </row>
    <row r="86" spans="1:18" x14ac:dyDescent="0.25">
      <c r="A86" s="10"/>
      <c r="F86" s="11">
        <f>IF(E86="Pass",IFERROR(INDEX(Config!$F$4:$F$5,MATCH(C86,Config!$E$4:$E$5,0)),0),0)</f>
        <v>0</v>
      </c>
      <c r="G86" s="12"/>
      <c r="H86" s="12" t="str">
        <f>IF(C86="Forecasting",IFERROR(INDEX(Config!$B$4:$B$6,MATCH(D86,Config!$A$4:$A$6,0)),""),"")</f>
        <v/>
      </c>
      <c r="I86" s="13">
        <f>IF(C86&lt;&gt;"Forecasting",0,IF(G86="",0,IF(ROUND(G86,4)&gt;=ROUND(H86,4),INDEX(Config!$G$4:$G$5,MATCH(C86,Config!$E$4:$E$5,0)),IF(ROUND(G86,4)&gt;=ROUND(H86-INDEX(Config!$C$4:$C$6,MATCH(D86,Config!$A$4:$A$6,0)),4),MAX(1,((G86-(H86-INDEX(Config!$C$4:$C$6,MATCH(D86,Config!$A$4:$A$6,0))))/INDEX(Config!$C$4:$C$6,MATCH(D86,Config!$A$4:$A$6,0)))*INDEX(Config!$G$4:$G$5,MATCH(C86,Config!$E$4:$E$5,0))),0))))</f>
        <v>0</v>
      </c>
      <c r="J86" s="13">
        <f t="shared" si="4"/>
        <v>0</v>
      </c>
      <c r="K86" s="12"/>
      <c r="L86" s="13">
        <f>IF(K86="",0,IF(K86&gt;=Config!$B$12,0,IF(K86&gt;Config!$F$14,INDEX(Config!$H$4:$H$5,MATCH(C86,Config!$E$4:$E$5,0))*Config!$F$11,INDEX(Config!$H$4:$H$5,MATCH(C86,Config!$E$4:$E$5,0)))))</f>
        <v>0</v>
      </c>
      <c r="M86" s="13">
        <f>IF(K86="",0,IF(K86&gt;=Config!$B$12,0,IF(K86&gt;=0.96,0,IF(K86&gt;=0.9,Config!$F$12,Config!$F$13))))</f>
        <v>0</v>
      </c>
      <c r="O86" s="11">
        <f>IF(N86="Pass",IFERROR(INDEX(Config!$I$4:$I$5,MATCH(C86,Config!$E$4:$E$5,0)),0),0)</f>
        <v>0</v>
      </c>
      <c r="P86" s="13">
        <f t="shared" si="5"/>
        <v>0</v>
      </c>
      <c r="Q86" s="11" t="str">
        <f t="shared" si="6"/>
        <v/>
      </c>
      <c r="R86" s="11" t="str">
        <f t="shared" si="7"/>
        <v/>
      </c>
    </row>
    <row r="87" spans="1:18" x14ac:dyDescent="0.25">
      <c r="A87" s="10"/>
      <c r="F87" s="11">
        <f>IF(E87="Pass",IFERROR(INDEX(Config!$F$4:$F$5,MATCH(C87,Config!$E$4:$E$5,0)),0),0)</f>
        <v>0</v>
      </c>
      <c r="G87" s="12"/>
      <c r="H87" s="12" t="str">
        <f>IF(C87="Forecasting",IFERROR(INDEX(Config!$B$4:$B$6,MATCH(D87,Config!$A$4:$A$6,0)),""),"")</f>
        <v/>
      </c>
      <c r="I87" s="13">
        <f>IF(C87&lt;&gt;"Forecasting",0,IF(G87="",0,IF(ROUND(G87,4)&gt;=ROUND(H87,4),INDEX(Config!$G$4:$G$5,MATCH(C87,Config!$E$4:$E$5,0)),IF(ROUND(G87,4)&gt;=ROUND(H87-INDEX(Config!$C$4:$C$6,MATCH(D87,Config!$A$4:$A$6,0)),4),MAX(1,((G87-(H87-INDEX(Config!$C$4:$C$6,MATCH(D87,Config!$A$4:$A$6,0))))/INDEX(Config!$C$4:$C$6,MATCH(D87,Config!$A$4:$A$6,0)))*INDEX(Config!$G$4:$G$5,MATCH(C87,Config!$E$4:$E$5,0))),0))))</f>
        <v>0</v>
      </c>
      <c r="J87" s="13">
        <f t="shared" si="4"/>
        <v>0</v>
      </c>
      <c r="K87" s="12"/>
      <c r="L87" s="13">
        <f>IF(K87="",0,IF(K87&gt;=Config!$B$12,0,IF(K87&gt;Config!$F$14,INDEX(Config!$H$4:$H$5,MATCH(C87,Config!$E$4:$E$5,0))*Config!$F$11,INDEX(Config!$H$4:$H$5,MATCH(C87,Config!$E$4:$E$5,0)))))</f>
        <v>0</v>
      </c>
      <c r="M87" s="13">
        <f>IF(K87="",0,IF(K87&gt;=Config!$B$12,0,IF(K87&gt;=0.96,0,IF(K87&gt;=0.9,Config!$F$12,Config!$F$13))))</f>
        <v>0</v>
      </c>
      <c r="O87" s="11">
        <f>IF(N87="Pass",IFERROR(INDEX(Config!$I$4:$I$5,MATCH(C87,Config!$E$4:$E$5,0)),0),0)</f>
        <v>0</v>
      </c>
      <c r="P87" s="13">
        <f t="shared" si="5"/>
        <v>0</v>
      </c>
      <c r="Q87" s="11" t="str">
        <f t="shared" si="6"/>
        <v/>
      </c>
      <c r="R87" s="11" t="str">
        <f t="shared" si="7"/>
        <v/>
      </c>
    </row>
    <row r="88" spans="1:18" x14ac:dyDescent="0.25">
      <c r="A88" s="10"/>
      <c r="F88" s="11">
        <f>IF(E88="Pass",IFERROR(INDEX(Config!$F$4:$F$5,MATCH(C88,Config!$E$4:$E$5,0)),0),0)</f>
        <v>0</v>
      </c>
      <c r="G88" s="12"/>
      <c r="H88" s="12" t="str">
        <f>IF(C88="Forecasting",IFERROR(INDEX(Config!$B$4:$B$6,MATCH(D88,Config!$A$4:$A$6,0)),""),"")</f>
        <v/>
      </c>
      <c r="I88" s="13">
        <f>IF(C88&lt;&gt;"Forecasting",0,IF(G88="",0,IF(ROUND(G88,4)&gt;=ROUND(H88,4),INDEX(Config!$G$4:$G$5,MATCH(C88,Config!$E$4:$E$5,0)),IF(ROUND(G88,4)&gt;=ROUND(H88-INDEX(Config!$C$4:$C$6,MATCH(D88,Config!$A$4:$A$6,0)),4),MAX(1,((G88-(H88-INDEX(Config!$C$4:$C$6,MATCH(D88,Config!$A$4:$A$6,0))))/INDEX(Config!$C$4:$C$6,MATCH(D88,Config!$A$4:$A$6,0)))*INDEX(Config!$G$4:$G$5,MATCH(C88,Config!$E$4:$E$5,0))),0))))</f>
        <v>0</v>
      </c>
      <c r="J88" s="13">
        <f t="shared" si="4"/>
        <v>0</v>
      </c>
      <c r="K88" s="12"/>
      <c r="L88" s="13">
        <f>IF(K88="",0,IF(K88&gt;=Config!$B$12,0,IF(K88&gt;Config!$F$14,INDEX(Config!$H$4:$H$5,MATCH(C88,Config!$E$4:$E$5,0))*Config!$F$11,INDEX(Config!$H$4:$H$5,MATCH(C88,Config!$E$4:$E$5,0)))))</f>
        <v>0</v>
      </c>
      <c r="M88" s="13">
        <f>IF(K88="",0,IF(K88&gt;=Config!$B$12,0,IF(K88&gt;=0.96,0,IF(K88&gt;=0.9,Config!$F$12,Config!$F$13))))</f>
        <v>0</v>
      </c>
      <c r="O88" s="11">
        <f>IF(N88="Pass",IFERROR(INDEX(Config!$I$4:$I$5,MATCH(C88,Config!$E$4:$E$5,0)),0),0)</f>
        <v>0</v>
      </c>
      <c r="P88" s="13">
        <f t="shared" si="5"/>
        <v>0</v>
      </c>
      <c r="Q88" s="11" t="str">
        <f t="shared" si="6"/>
        <v/>
      </c>
      <c r="R88" s="11" t="str">
        <f t="shared" si="7"/>
        <v/>
      </c>
    </row>
    <row r="89" spans="1:18" x14ac:dyDescent="0.25">
      <c r="A89" s="10"/>
      <c r="F89" s="11">
        <f>IF(E89="Pass",IFERROR(INDEX(Config!$F$4:$F$5,MATCH(C89,Config!$E$4:$E$5,0)),0),0)</f>
        <v>0</v>
      </c>
      <c r="G89" s="12"/>
      <c r="H89" s="12" t="str">
        <f>IF(C89="Forecasting",IFERROR(INDEX(Config!$B$4:$B$6,MATCH(D89,Config!$A$4:$A$6,0)),""),"")</f>
        <v/>
      </c>
      <c r="I89" s="13">
        <f>IF(C89&lt;&gt;"Forecasting",0,IF(G89="",0,IF(ROUND(G89,4)&gt;=ROUND(H89,4),INDEX(Config!$G$4:$G$5,MATCH(C89,Config!$E$4:$E$5,0)),IF(ROUND(G89,4)&gt;=ROUND(H89-INDEX(Config!$C$4:$C$6,MATCH(D89,Config!$A$4:$A$6,0)),4),MAX(1,((G89-(H89-INDEX(Config!$C$4:$C$6,MATCH(D89,Config!$A$4:$A$6,0))))/INDEX(Config!$C$4:$C$6,MATCH(D89,Config!$A$4:$A$6,0)))*INDEX(Config!$G$4:$G$5,MATCH(C89,Config!$E$4:$E$5,0))),0))))</f>
        <v>0</v>
      </c>
      <c r="J89" s="13">
        <f t="shared" si="4"/>
        <v>0</v>
      </c>
      <c r="K89" s="12"/>
      <c r="L89" s="13">
        <f>IF(K89="",0,IF(K89&gt;=Config!$B$12,0,IF(K89&gt;Config!$F$14,INDEX(Config!$H$4:$H$5,MATCH(C89,Config!$E$4:$E$5,0))*Config!$F$11,INDEX(Config!$H$4:$H$5,MATCH(C89,Config!$E$4:$E$5,0)))))</f>
        <v>0</v>
      </c>
      <c r="M89" s="13">
        <f>IF(K89="",0,IF(K89&gt;=Config!$B$12,0,IF(K89&gt;=0.96,0,IF(K89&gt;=0.9,Config!$F$12,Config!$F$13))))</f>
        <v>0</v>
      </c>
      <c r="O89" s="11">
        <f>IF(N89="Pass",IFERROR(INDEX(Config!$I$4:$I$5,MATCH(C89,Config!$E$4:$E$5,0)),0),0)</f>
        <v>0</v>
      </c>
      <c r="P89" s="13">
        <f t="shared" si="5"/>
        <v>0</v>
      </c>
      <c r="Q89" s="11" t="str">
        <f t="shared" si="6"/>
        <v/>
      </c>
      <c r="R89" s="11" t="str">
        <f t="shared" si="7"/>
        <v/>
      </c>
    </row>
    <row r="90" spans="1:18" x14ac:dyDescent="0.25">
      <c r="A90" s="10"/>
      <c r="F90" s="11">
        <f>IF(E90="Pass",IFERROR(INDEX(Config!$F$4:$F$5,MATCH(C90,Config!$E$4:$E$5,0)),0),0)</f>
        <v>0</v>
      </c>
      <c r="G90" s="12"/>
      <c r="H90" s="12" t="str">
        <f>IF(C90="Forecasting",IFERROR(INDEX(Config!$B$4:$B$6,MATCH(D90,Config!$A$4:$A$6,0)),""),"")</f>
        <v/>
      </c>
      <c r="I90" s="13">
        <f>IF(C90&lt;&gt;"Forecasting",0,IF(G90="",0,IF(ROUND(G90,4)&gt;=ROUND(H90,4),INDEX(Config!$G$4:$G$5,MATCH(C90,Config!$E$4:$E$5,0)),IF(ROUND(G90,4)&gt;=ROUND(H90-INDEX(Config!$C$4:$C$6,MATCH(D90,Config!$A$4:$A$6,0)),4),MAX(1,((G90-(H90-INDEX(Config!$C$4:$C$6,MATCH(D90,Config!$A$4:$A$6,0))))/INDEX(Config!$C$4:$C$6,MATCH(D90,Config!$A$4:$A$6,0)))*INDEX(Config!$G$4:$G$5,MATCH(C90,Config!$E$4:$E$5,0))),0))))</f>
        <v>0</v>
      </c>
      <c r="J90" s="13">
        <f t="shared" si="4"/>
        <v>0</v>
      </c>
      <c r="K90" s="12"/>
      <c r="L90" s="13">
        <f>IF(K90="",0,IF(K90&gt;=Config!$B$12,0,IF(K90&gt;Config!$F$14,INDEX(Config!$H$4:$H$5,MATCH(C90,Config!$E$4:$E$5,0))*Config!$F$11,INDEX(Config!$H$4:$H$5,MATCH(C90,Config!$E$4:$E$5,0)))))</f>
        <v>0</v>
      </c>
      <c r="M90" s="13">
        <f>IF(K90="",0,IF(K90&gt;=Config!$B$12,0,IF(K90&gt;=0.96,0,IF(K90&gt;=0.9,Config!$F$12,Config!$F$13))))</f>
        <v>0</v>
      </c>
      <c r="O90" s="11">
        <f>IF(N90="Pass",IFERROR(INDEX(Config!$I$4:$I$5,MATCH(C90,Config!$E$4:$E$5,0)),0),0)</f>
        <v>0</v>
      </c>
      <c r="P90" s="13">
        <f t="shared" si="5"/>
        <v>0</v>
      </c>
      <c r="Q90" s="11" t="str">
        <f t="shared" si="6"/>
        <v/>
      </c>
      <c r="R90" s="11" t="str">
        <f t="shared" si="7"/>
        <v/>
      </c>
    </row>
    <row r="91" spans="1:18" x14ac:dyDescent="0.25">
      <c r="A91" s="10"/>
      <c r="F91" s="11">
        <f>IF(E91="Pass",IFERROR(INDEX(Config!$F$4:$F$5,MATCH(C91,Config!$E$4:$E$5,0)),0),0)</f>
        <v>0</v>
      </c>
      <c r="G91" s="12"/>
      <c r="H91" s="12" t="str">
        <f>IF(C91="Forecasting",IFERROR(INDEX(Config!$B$4:$B$6,MATCH(D91,Config!$A$4:$A$6,0)),""),"")</f>
        <v/>
      </c>
      <c r="I91" s="13">
        <f>IF(C91&lt;&gt;"Forecasting",0,IF(G91="",0,IF(ROUND(G91,4)&gt;=ROUND(H91,4),INDEX(Config!$G$4:$G$5,MATCH(C91,Config!$E$4:$E$5,0)),IF(ROUND(G91,4)&gt;=ROUND(H91-INDEX(Config!$C$4:$C$6,MATCH(D91,Config!$A$4:$A$6,0)),4),MAX(1,((G91-(H91-INDEX(Config!$C$4:$C$6,MATCH(D91,Config!$A$4:$A$6,0))))/INDEX(Config!$C$4:$C$6,MATCH(D91,Config!$A$4:$A$6,0)))*INDEX(Config!$G$4:$G$5,MATCH(C91,Config!$E$4:$E$5,0))),0))))</f>
        <v>0</v>
      </c>
      <c r="J91" s="13">
        <f t="shared" si="4"/>
        <v>0</v>
      </c>
      <c r="K91" s="12"/>
      <c r="L91" s="13">
        <f>IF(K91="",0,IF(K91&gt;=Config!$B$12,0,IF(K91&gt;Config!$F$14,INDEX(Config!$H$4:$H$5,MATCH(C91,Config!$E$4:$E$5,0))*Config!$F$11,INDEX(Config!$H$4:$H$5,MATCH(C91,Config!$E$4:$E$5,0)))))</f>
        <v>0</v>
      </c>
      <c r="M91" s="13">
        <f>IF(K91="",0,IF(K91&gt;=Config!$B$12,0,IF(K91&gt;=0.96,0,IF(K91&gt;=0.9,Config!$F$12,Config!$F$13))))</f>
        <v>0</v>
      </c>
      <c r="O91" s="11">
        <f>IF(N91="Pass",IFERROR(INDEX(Config!$I$4:$I$5,MATCH(C91,Config!$E$4:$E$5,0)),0),0)</f>
        <v>0</v>
      </c>
      <c r="P91" s="13">
        <f t="shared" si="5"/>
        <v>0</v>
      </c>
      <c r="Q91" s="11" t="str">
        <f t="shared" si="6"/>
        <v/>
      </c>
      <c r="R91" s="11" t="str">
        <f t="shared" si="7"/>
        <v/>
      </c>
    </row>
    <row r="92" spans="1:18" x14ac:dyDescent="0.25">
      <c r="A92" s="10"/>
      <c r="F92" s="11">
        <f>IF(E92="Pass",IFERROR(INDEX(Config!$F$4:$F$5,MATCH(C92,Config!$E$4:$E$5,0)),0),0)</f>
        <v>0</v>
      </c>
      <c r="G92" s="12"/>
      <c r="H92" s="12" t="str">
        <f>IF(C92="Forecasting",IFERROR(INDEX(Config!$B$4:$B$6,MATCH(D92,Config!$A$4:$A$6,0)),""),"")</f>
        <v/>
      </c>
      <c r="I92" s="13">
        <f>IF(C92&lt;&gt;"Forecasting",0,IF(G92="",0,IF(ROUND(G92,4)&gt;=ROUND(H92,4),INDEX(Config!$G$4:$G$5,MATCH(C92,Config!$E$4:$E$5,0)),IF(ROUND(G92,4)&gt;=ROUND(H92-INDEX(Config!$C$4:$C$6,MATCH(D92,Config!$A$4:$A$6,0)),4),MAX(1,((G92-(H92-INDEX(Config!$C$4:$C$6,MATCH(D92,Config!$A$4:$A$6,0))))/INDEX(Config!$C$4:$C$6,MATCH(D92,Config!$A$4:$A$6,0)))*INDEX(Config!$G$4:$G$5,MATCH(C92,Config!$E$4:$E$5,0))),0))))</f>
        <v>0</v>
      </c>
      <c r="J92" s="13">
        <f t="shared" si="4"/>
        <v>0</v>
      </c>
      <c r="K92" s="12"/>
      <c r="L92" s="13">
        <f>IF(K92="",0,IF(K92&gt;=Config!$B$12,0,IF(K92&gt;Config!$F$14,INDEX(Config!$H$4:$H$5,MATCH(C92,Config!$E$4:$E$5,0))*Config!$F$11,INDEX(Config!$H$4:$H$5,MATCH(C92,Config!$E$4:$E$5,0)))))</f>
        <v>0</v>
      </c>
      <c r="M92" s="13">
        <f>IF(K92="",0,IF(K92&gt;=Config!$B$12,0,IF(K92&gt;=0.96,0,IF(K92&gt;=0.9,Config!$F$12,Config!$F$13))))</f>
        <v>0</v>
      </c>
      <c r="O92" s="11">
        <f>IF(N92="Pass",IFERROR(INDEX(Config!$I$4:$I$5,MATCH(C92,Config!$E$4:$E$5,0)),0),0)</f>
        <v>0</v>
      </c>
      <c r="P92" s="13">
        <f t="shared" si="5"/>
        <v>0</v>
      </c>
      <c r="Q92" s="11" t="str">
        <f t="shared" si="6"/>
        <v/>
      </c>
      <c r="R92" s="11" t="str">
        <f t="shared" si="7"/>
        <v/>
      </c>
    </row>
    <row r="93" spans="1:18" x14ac:dyDescent="0.25">
      <c r="A93" s="10"/>
      <c r="F93" s="11">
        <f>IF(E93="Pass",IFERROR(INDEX(Config!$F$4:$F$5,MATCH(C93,Config!$E$4:$E$5,0)),0),0)</f>
        <v>0</v>
      </c>
      <c r="G93" s="12"/>
      <c r="H93" s="12" t="str">
        <f>IF(C93="Forecasting",IFERROR(INDEX(Config!$B$4:$B$6,MATCH(D93,Config!$A$4:$A$6,0)),""),"")</f>
        <v/>
      </c>
      <c r="I93" s="13">
        <f>IF(C93&lt;&gt;"Forecasting",0,IF(G93="",0,IF(ROUND(G93,4)&gt;=ROUND(H93,4),INDEX(Config!$G$4:$G$5,MATCH(C93,Config!$E$4:$E$5,0)),IF(ROUND(G93,4)&gt;=ROUND(H93-INDEX(Config!$C$4:$C$6,MATCH(D93,Config!$A$4:$A$6,0)),4),MAX(1,((G93-(H93-INDEX(Config!$C$4:$C$6,MATCH(D93,Config!$A$4:$A$6,0))))/INDEX(Config!$C$4:$C$6,MATCH(D93,Config!$A$4:$A$6,0)))*INDEX(Config!$G$4:$G$5,MATCH(C93,Config!$E$4:$E$5,0))),0))))</f>
        <v>0</v>
      </c>
      <c r="J93" s="13">
        <f t="shared" si="4"/>
        <v>0</v>
      </c>
      <c r="K93" s="12"/>
      <c r="L93" s="13">
        <f>IF(K93="",0,IF(K93&gt;=Config!$B$12,0,IF(K93&gt;Config!$F$14,INDEX(Config!$H$4:$H$5,MATCH(C93,Config!$E$4:$E$5,0))*Config!$F$11,INDEX(Config!$H$4:$H$5,MATCH(C93,Config!$E$4:$E$5,0)))))</f>
        <v>0</v>
      </c>
      <c r="M93" s="13">
        <f>IF(K93="",0,IF(K93&gt;=Config!$B$12,0,IF(K93&gt;=0.96,0,IF(K93&gt;=0.9,Config!$F$12,Config!$F$13))))</f>
        <v>0</v>
      </c>
      <c r="O93" s="11">
        <f>IF(N93="Pass",IFERROR(INDEX(Config!$I$4:$I$5,MATCH(C93,Config!$E$4:$E$5,0)),0),0)</f>
        <v>0</v>
      </c>
      <c r="P93" s="13">
        <f t="shared" si="5"/>
        <v>0</v>
      </c>
      <c r="Q93" s="11" t="str">
        <f t="shared" si="6"/>
        <v/>
      </c>
      <c r="R93" s="11" t="str">
        <f t="shared" si="7"/>
        <v/>
      </c>
    </row>
    <row r="94" spans="1:18" x14ac:dyDescent="0.25">
      <c r="A94" s="10"/>
      <c r="F94" s="11">
        <f>IF(E94="Pass",IFERROR(INDEX(Config!$F$4:$F$5,MATCH(C94,Config!$E$4:$E$5,0)),0),0)</f>
        <v>0</v>
      </c>
      <c r="G94" s="12"/>
      <c r="H94" s="12" t="str">
        <f>IF(C94="Forecasting",IFERROR(INDEX(Config!$B$4:$B$6,MATCH(D94,Config!$A$4:$A$6,0)),""),"")</f>
        <v/>
      </c>
      <c r="I94" s="13">
        <f>IF(C94&lt;&gt;"Forecasting",0,IF(G94="",0,IF(ROUND(G94,4)&gt;=ROUND(H94,4),INDEX(Config!$G$4:$G$5,MATCH(C94,Config!$E$4:$E$5,0)),IF(ROUND(G94,4)&gt;=ROUND(H94-INDEX(Config!$C$4:$C$6,MATCH(D94,Config!$A$4:$A$6,0)),4),MAX(1,((G94-(H94-INDEX(Config!$C$4:$C$6,MATCH(D94,Config!$A$4:$A$6,0))))/INDEX(Config!$C$4:$C$6,MATCH(D94,Config!$A$4:$A$6,0)))*INDEX(Config!$G$4:$G$5,MATCH(C94,Config!$E$4:$E$5,0))),0))))</f>
        <v>0</v>
      </c>
      <c r="J94" s="13">
        <f t="shared" si="4"/>
        <v>0</v>
      </c>
      <c r="K94" s="12"/>
      <c r="L94" s="13">
        <f>IF(K94="",0,IF(K94&gt;=Config!$B$12,0,IF(K94&gt;Config!$F$14,INDEX(Config!$H$4:$H$5,MATCH(C94,Config!$E$4:$E$5,0))*Config!$F$11,INDEX(Config!$H$4:$H$5,MATCH(C94,Config!$E$4:$E$5,0)))))</f>
        <v>0</v>
      </c>
      <c r="M94" s="13">
        <f>IF(K94="",0,IF(K94&gt;=Config!$B$12,0,IF(K94&gt;=0.96,0,IF(K94&gt;=0.9,Config!$F$12,Config!$F$13))))</f>
        <v>0</v>
      </c>
      <c r="O94" s="11">
        <f>IF(N94="Pass",IFERROR(INDEX(Config!$I$4:$I$5,MATCH(C94,Config!$E$4:$E$5,0)),0),0)</f>
        <v>0</v>
      </c>
      <c r="P94" s="13">
        <f t="shared" si="5"/>
        <v>0</v>
      </c>
      <c r="Q94" s="11" t="str">
        <f t="shared" si="6"/>
        <v/>
      </c>
      <c r="R94" s="11" t="str">
        <f t="shared" si="7"/>
        <v/>
      </c>
    </row>
    <row r="95" spans="1:18" x14ac:dyDescent="0.25">
      <c r="A95" s="10"/>
      <c r="F95" s="11">
        <f>IF(E95="Pass",IFERROR(INDEX(Config!$F$4:$F$5,MATCH(C95,Config!$E$4:$E$5,0)),0),0)</f>
        <v>0</v>
      </c>
      <c r="G95" s="12"/>
      <c r="H95" s="12" t="str">
        <f>IF(C95="Forecasting",IFERROR(INDEX(Config!$B$4:$B$6,MATCH(D95,Config!$A$4:$A$6,0)),""),"")</f>
        <v/>
      </c>
      <c r="I95" s="13">
        <f>IF(C95&lt;&gt;"Forecasting",0,IF(G95="",0,IF(ROUND(G95,4)&gt;=ROUND(H95,4),INDEX(Config!$G$4:$G$5,MATCH(C95,Config!$E$4:$E$5,0)),IF(ROUND(G95,4)&gt;=ROUND(H95-INDEX(Config!$C$4:$C$6,MATCH(D95,Config!$A$4:$A$6,0)),4),MAX(1,((G95-(H95-INDEX(Config!$C$4:$C$6,MATCH(D95,Config!$A$4:$A$6,0))))/INDEX(Config!$C$4:$C$6,MATCH(D95,Config!$A$4:$A$6,0)))*INDEX(Config!$G$4:$G$5,MATCH(C95,Config!$E$4:$E$5,0))),0))))</f>
        <v>0</v>
      </c>
      <c r="J95" s="13">
        <f t="shared" si="4"/>
        <v>0</v>
      </c>
      <c r="K95" s="12"/>
      <c r="L95" s="13">
        <f>IF(K95="",0,IF(K95&gt;=Config!$B$12,0,IF(K95&gt;Config!$F$14,INDEX(Config!$H$4:$H$5,MATCH(C95,Config!$E$4:$E$5,0))*Config!$F$11,INDEX(Config!$H$4:$H$5,MATCH(C95,Config!$E$4:$E$5,0)))))</f>
        <v>0</v>
      </c>
      <c r="M95" s="13">
        <f>IF(K95="",0,IF(K95&gt;=Config!$B$12,0,IF(K95&gt;=0.96,0,IF(K95&gt;=0.9,Config!$F$12,Config!$F$13))))</f>
        <v>0</v>
      </c>
      <c r="O95" s="11">
        <f>IF(N95="Pass",IFERROR(INDEX(Config!$I$4:$I$5,MATCH(C95,Config!$E$4:$E$5,0)),0),0)</f>
        <v>0</v>
      </c>
      <c r="P95" s="13">
        <f t="shared" si="5"/>
        <v>0</v>
      </c>
      <c r="Q95" s="11" t="str">
        <f t="shared" si="6"/>
        <v/>
      </c>
      <c r="R95" s="11" t="str">
        <f t="shared" si="7"/>
        <v/>
      </c>
    </row>
    <row r="96" spans="1:18" x14ac:dyDescent="0.25">
      <c r="A96" s="10"/>
      <c r="F96" s="11">
        <f>IF(E96="Pass",IFERROR(INDEX(Config!$F$4:$F$5,MATCH(C96,Config!$E$4:$E$5,0)),0),0)</f>
        <v>0</v>
      </c>
      <c r="G96" s="12"/>
      <c r="H96" s="12" t="str">
        <f>IF(C96="Forecasting",IFERROR(INDEX(Config!$B$4:$B$6,MATCH(D96,Config!$A$4:$A$6,0)),""),"")</f>
        <v/>
      </c>
      <c r="I96" s="13">
        <f>IF(C96&lt;&gt;"Forecasting",0,IF(G96="",0,IF(ROUND(G96,4)&gt;=ROUND(H96,4),INDEX(Config!$G$4:$G$5,MATCH(C96,Config!$E$4:$E$5,0)),IF(ROUND(G96,4)&gt;=ROUND(H96-INDEX(Config!$C$4:$C$6,MATCH(D96,Config!$A$4:$A$6,0)),4),MAX(1,((G96-(H96-INDEX(Config!$C$4:$C$6,MATCH(D96,Config!$A$4:$A$6,0))))/INDEX(Config!$C$4:$C$6,MATCH(D96,Config!$A$4:$A$6,0)))*INDEX(Config!$G$4:$G$5,MATCH(C96,Config!$E$4:$E$5,0))),0))))</f>
        <v>0</v>
      </c>
      <c r="J96" s="13">
        <f t="shared" si="4"/>
        <v>0</v>
      </c>
      <c r="K96" s="12"/>
      <c r="L96" s="13">
        <f>IF(K96="",0,IF(K96&gt;=Config!$B$12,0,IF(K96&gt;Config!$F$14,INDEX(Config!$H$4:$H$5,MATCH(C96,Config!$E$4:$E$5,0))*Config!$F$11,INDEX(Config!$H$4:$H$5,MATCH(C96,Config!$E$4:$E$5,0)))))</f>
        <v>0</v>
      </c>
      <c r="M96" s="13">
        <f>IF(K96="",0,IF(K96&gt;=Config!$B$12,0,IF(K96&gt;=0.96,0,IF(K96&gt;=0.9,Config!$F$12,Config!$F$13))))</f>
        <v>0</v>
      </c>
      <c r="O96" s="11">
        <f>IF(N96="Pass",IFERROR(INDEX(Config!$I$4:$I$5,MATCH(C96,Config!$E$4:$E$5,0)),0),0)</f>
        <v>0</v>
      </c>
      <c r="P96" s="13">
        <f t="shared" si="5"/>
        <v>0</v>
      </c>
      <c r="Q96" s="11" t="str">
        <f t="shared" si="6"/>
        <v/>
      </c>
      <c r="R96" s="11" t="str">
        <f t="shared" si="7"/>
        <v/>
      </c>
    </row>
    <row r="97" spans="1:18" x14ac:dyDescent="0.25">
      <c r="A97" s="10"/>
      <c r="F97" s="11">
        <f>IF(E97="Pass",IFERROR(INDEX(Config!$F$4:$F$5,MATCH(C97,Config!$E$4:$E$5,0)),0),0)</f>
        <v>0</v>
      </c>
      <c r="G97" s="12"/>
      <c r="H97" s="12" t="str">
        <f>IF(C97="Forecasting",IFERROR(INDEX(Config!$B$4:$B$6,MATCH(D97,Config!$A$4:$A$6,0)),""),"")</f>
        <v/>
      </c>
      <c r="I97" s="13">
        <f>IF(C97&lt;&gt;"Forecasting",0,IF(G97="",0,IF(ROUND(G97,4)&gt;=ROUND(H97,4),INDEX(Config!$G$4:$G$5,MATCH(C97,Config!$E$4:$E$5,0)),IF(ROUND(G97,4)&gt;=ROUND(H97-INDEX(Config!$C$4:$C$6,MATCH(D97,Config!$A$4:$A$6,0)),4),MAX(1,((G97-(H97-INDEX(Config!$C$4:$C$6,MATCH(D97,Config!$A$4:$A$6,0))))/INDEX(Config!$C$4:$C$6,MATCH(D97,Config!$A$4:$A$6,0)))*INDEX(Config!$G$4:$G$5,MATCH(C97,Config!$E$4:$E$5,0))),0))))</f>
        <v>0</v>
      </c>
      <c r="J97" s="13">
        <f t="shared" si="4"/>
        <v>0</v>
      </c>
      <c r="K97" s="12"/>
      <c r="L97" s="13">
        <f>IF(K97="",0,IF(K97&gt;=Config!$B$12,0,IF(K97&gt;Config!$F$14,INDEX(Config!$H$4:$H$5,MATCH(C97,Config!$E$4:$E$5,0))*Config!$F$11,INDEX(Config!$H$4:$H$5,MATCH(C97,Config!$E$4:$E$5,0)))))</f>
        <v>0</v>
      </c>
      <c r="M97" s="13">
        <f>IF(K97="",0,IF(K97&gt;=Config!$B$12,0,IF(K97&gt;=0.96,0,IF(K97&gt;=0.9,Config!$F$12,Config!$F$13))))</f>
        <v>0</v>
      </c>
      <c r="O97" s="11">
        <f>IF(N97="Pass",IFERROR(INDEX(Config!$I$4:$I$5,MATCH(C97,Config!$E$4:$E$5,0)),0),0)</f>
        <v>0</v>
      </c>
      <c r="P97" s="13">
        <f t="shared" si="5"/>
        <v>0</v>
      </c>
      <c r="Q97" s="11" t="str">
        <f t="shared" si="6"/>
        <v/>
      </c>
      <c r="R97" s="11" t="str">
        <f t="shared" si="7"/>
        <v/>
      </c>
    </row>
    <row r="98" spans="1:18" x14ac:dyDescent="0.25">
      <c r="A98" s="10"/>
      <c r="F98" s="11">
        <f>IF(E98="Pass",IFERROR(INDEX(Config!$F$4:$F$5,MATCH(C98,Config!$E$4:$E$5,0)),0),0)</f>
        <v>0</v>
      </c>
      <c r="G98" s="12"/>
      <c r="H98" s="12" t="str">
        <f>IF(C98="Forecasting",IFERROR(INDEX(Config!$B$4:$B$6,MATCH(D98,Config!$A$4:$A$6,0)),""),"")</f>
        <v/>
      </c>
      <c r="I98" s="13">
        <f>IF(C98&lt;&gt;"Forecasting",0,IF(G98="",0,IF(ROUND(G98,4)&gt;=ROUND(H98,4),INDEX(Config!$G$4:$G$5,MATCH(C98,Config!$E$4:$E$5,0)),IF(ROUND(G98,4)&gt;=ROUND(H98-INDEX(Config!$C$4:$C$6,MATCH(D98,Config!$A$4:$A$6,0)),4),MAX(1,((G98-(H98-INDEX(Config!$C$4:$C$6,MATCH(D98,Config!$A$4:$A$6,0))))/INDEX(Config!$C$4:$C$6,MATCH(D98,Config!$A$4:$A$6,0)))*INDEX(Config!$G$4:$G$5,MATCH(C98,Config!$E$4:$E$5,0))),0))))</f>
        <v>0</v>
      </c>
      <c r="J98" s="13">
        <f t="shared" si="4"/>
        <v>0</v>
      </c>
      <c r="K98" s="12"/>
      <c r="L98" s="13">
        <f>IF(K98="",0,IF(K98&gt;=Config!$B$12,0,IF(K98&gt;Config!$F$14,INDEX(Config!$H$4:$H$5,MATCH(C98,Config!$E$4:$E$5,0))*Config!$F$11,INDEX(Config!$H$4:$H$5,MATCH(C98,Config!$E$4:$E$5,0)))))</f>
        <v>0</v>
      </c>
      <c r="M98" s="13">
        <f>IF(K98="",0,IF(K98&gt;=Config!$B$12,0,IF(K98&gt;=0.96,0,IF(K98&gt;=0.9,Config!$F$12,Config!$F$13))))</f>
        <v>0</v>
      </c>
      <c r="O98" s="11">
        <f>IF(N98="Pass",IFERROR(INDEX(Config!$I$4:$I$5,MATCH(C98,Config!$E$4:$E$5,0)),0),0)</f>
        <v>0</v>
      </c>
      <c r="P98" s="13">
        <f t="shared" si="5"/>
        <v>0</v>
      </c>
      <c r="Q98" s="11" t="str">
        <f t="shared" si="6"/>
        <v/>
      </c>
      <c r="R98" s="11" t="str">
        <f t="shared" si="7"/>
        <v/>
      </c>
    </row>
    <row r="99" spans="1:18" x14ac:dyDescent="0.25">
      <c r="A99" s="10"/>
      <c r="F99" s="11">
        <f>IF(E99="Pass",IFERROR(INDEX(Config!$F$4:$F$5,MATCH(C99,Config!$E$4:$E$5,0)),0),0)</f>
        <v>0</v>
      </c>
      <c r="G99" s="12"/>
      <c r="H99" s="12" t="str">
        <f>IF(C99="Forecasting",IFERROR(INDEX(Config!$B$4:$B$6,MATCH(D99,Config!$A$4:$A$6,0)),""),"")</f>
        <v/>
      </c>
      <c r="I99" s="13">
        <f>IF(C99&lt;&gt;"Forecasting",0,IF(G99="",0,IF(ROUND(G99,4)&gt;=ROUND(H99,4),INDEX(Config!$G$4:$G$5,MATCH(C99,Config!$E$4:$E$5,0)),IF(ROUND(G99,4)&gt;=ROUND(H99-INDEX(Config!$C$4:$C$6,MATCH(D99,Config!$A$4:$A$6,0)),4),MAX(1,((G99-(H99-INDEX(Config!$C$4:$C$6,MATCH(D99,Config!$A$4:$A$6,0))))/INDEX(Config!$C$4:$C$6,MATCH(D99,Config!$A$4:$A$6,0)))*INDEX(Config!$G$4:$G$5,MATCH(C99,Config!$E$4:$E$5,0))),0))))</f>
        <v>0</v>
      </c>
      <c r="J99" s="13">
        <f t="shared" si="4"/>
        <v>0</v>
      </c>
      <c r="K99" s="12"/>
      <c r="L99" s="13">
        <f>IF(K99="",0,IF(K99&gt;=Config!$B$12,0,IF(K99&gt;Config!$F$14,INDEX(Config!$H$4:$H$5,MATCH(C99,Config!$E$4:$E$5,0))*Config!$F$11,INDEX(Config!$H$4:$H$5,MATCH(C99,Config!$E$4:$E$5,0)))))</f>
        <v>0</v>
      </c>
      <c r="M99" s="13">
        <f>IF(K99="",0,IF(K99&gt;=Config!$B$12,0,IF(K99&gt;=0.96,0,IF(K99&gt;=0.9,Config!$F$12,Config!$F$13))))</f>
        <v>0</v>
      </c>
      <c r="O99" s="11">
        <f>IF(N99="Pass",IFERROR(INDEX(Config!$I$4:$I$5,MATCH(C99,Config!$E$4:$E$5,0)),0),0)</f>
        <v>0</v>
      </c>
      <c r="P99" s="13">
        <f t="shared" si="5"/>
        <v>0</v>
      </c>
      <c r="Q99" s="11" t="str">
        <f t="shared" si="6"/>
        <v/>
      </c>
      <c r="R99" s="11" t="str">
        <f t="shared" si="7"/>
        <v/>
      </c>
    </row>
    <row r="100" spans="1:18" x14ac:dyDescent="0.25">
      <c r="A100" s="10"/>
      <c r="F100" s="11">
        <f>IF(E100="Pass",IFERROR(INDEX(Config!$F$4:$F$5,MATCH(C100,Config!$E$4:$E$5,0)),0),0)</f>
        <v>0</v>
      </c>
      <c r="G100" s="12"/>
      <c r="H100" s="12" t="str">
        <f>IF(C100="Forecasting",IFERROR(INDEX(Config!$B$4:$B$6,MATCH(D100,Config!$A$4:$A$6,0)),""),"")</f>
        <v/>
      </c>
      <c r="I100" s="13">
        <f>IF(C100&lt;&gt;"Forecasting",0,IF(G100="",0,IF(ROUND(G100,4)&gt;=ROUND(H100,4),INDEX(Config!$G$4:$G$5,MATCH(C100,Config!$E$4:$E$5,0)),IF(ROUND(G100,4)&gt;=ROUND(H100-INDEX(Config!$C$4:$C$6,MATCH(D100,Config!$A$4:$A$6,0)),4),MAX(1,((G100-(H100-INDEX(Config!$C$4:$C$6,MATCH(D100,Config!$A$4:$A$6,0))))/INDEX(Config!$C$4:$C$6,MATCH(D100,Config!$A$4:$A$6,0)))*INDEX(Config!$G$4:$G$5,MATCH(C100,Config!$E$4:$E$5,0))),0))))</f>
        <v>0</v>
      </c>
      <c r="J100" s="13">
        <f t="shared" si="4"/>
        <v>0</v>
      </c>
      <c r="K100" s="12"/>
      <c r="L100" s="13">
        <f>IF(K100="",0,IF(K100&gt;=Config!$B$12,0,IF(K100&gt;Config!$F$14,INDEX(Config!$H$4:$H$5,MATCH(C100,Config!$E$4:$E$5,0))*Config!$F$11,INDEX(Config!$H$4:$H$5,MATCH(C100,Config!$E$4:$E$5,0)))))</f>
        <v>0</v>
      </c>
      <c r="M100" s="13">
        <f>IF(K100="",0,IF(K100&gt;=Config!$B$12,0,IF(K100&gt;=0.96,0,IF(K100&gt;=0.9,Config!$F$12,Config!$F$13))))</f>
        <v>0</v>
      </c>
      <c r="O100" s="11">
        <f>IF(N100="Pass",IFERROR(INDEX(Config!$I$4:$I$5,MATCH(C100,Config!$E$4:$E$5,0)),0),0)</f>
        <v>0</v>
      </c>
      <c r="P100" s="13">
        <f t="shared" si="5"/>
        <v>0</v>
      </c>
      <c r="Q100" s="11" t="str">
        <f t="shared" si="6"/>
        <v/>
      </c>
      <c r="R100" s="11" t="str">
        <f t="shared" si="7"/>
        <v/>
      </c>
    </row>
    <row r="101" spans="1:18" x14ac:dyDescent="0.25">
      <c r="A101" s="10"/>
      <c r="F101" s="11">
        <f>IF(E101="Pass",IFERROR(INDEX(Config!$F$4:$F$5,MATCH(C101,Config!$E$4:$E$5,0)),0),0)</f>
        <v>0</v>
      </c>
      <c r="G101" s="12"/>
      <c r="H101" s="12" t="str">
        <f>IF(C101="Forecasting",IFERROR(INDEX(Config!$B$4:$B$6,MATCH(D101,Config!$A$4:$A$6,0)),""),"")</f>
        <v/>
      </c>
      <c r="I101" s="13">
        <f>IF(C101&lt;&gt;"Forecasting",0,IF(G101="",0,IF(ROUND(G101,4)&gt;=ROUND(H101,4),INDEX(Config!$G$4:$G$5,MATCH(C101,Config!$E$4:$E$5,0)),IF(ROUND(G101,4)&gt;=ROUND(H101-INDEX(Config!$C$4:$C$6,MATCH(D101,Config!$A$4:$A$6,0)),4),MAX(1,((G101-(H101-INDEX(Config!$C$4:$C$6,MATCH(D101,Config!$A$4:$A$6,0))))/INDEX(Config!$C$4:$C$6,MATCH(D101,Config!$A$4:$A$6,0)))*INDEX(Config!$G$4:$G$5,MATCH(C101,Config!$E$4:$E$5,0))),0))))</f>
        <v>0</v>
      </c>
      <c r="J101" s="13">
        <f t="shared" si="4"/>
        <v>0</v>
      </c>
      <c r="K101" s="12"/>
      <c r="L101" s="13">
        <f>IF(K101="",0,IF(K101&gt;=Config!$B$12,0,IF(K101&gt;Config!$F$14,INDEX(Config!$H$4:$H$5,MATCH(C101,Config!$E$4:$E$5,0))*Config!$F$11,INDEX(Config!$H$4:$H$5,MATCH(C101,Config!$E$4:$E$5,0)))))</f>
        <v>0</v>
      </c>
      <c r="M101" s="13">
        <f>IF(K101="",0,IF(K101&gt;=Config!$B$12,0,IF(K101&gt;=0.96,0,IF(K101&gt;=0.9,Config!$F$12,Config!$F$13))))</f>
        <v>0</v>
      </c>
      <c r="O101" s="11">
        <f>IF(N101="Pass",IFERROR(INDEX(Config!$I$4:$I$5,MATCH(C101,Config!$E$4:$E$5,0)),0),0)</f>
        <v>0</v>
      </c>
      <c r="P101" s="13">
        <f t="shared" si="5"/>
        <v>0</v>
      </c>
      <c r="Q101" s="11" t="str">
        <f t="shared" si="6"/>
        <v/>
      </c>
      <c r="R101" s="11" t="str">
        <f t="shared" si="7"/>
        <v/>
      </c>
    </row>
    <row r="102" spans="1:18" x14ac:dyDescent="0.25">
      <c r="A102" s="10"/>
      <c r="F102" s="11">
        <f>IF(E102="Pass",IFERROR(INDEX(Config!$F$4:$F$5,MATCH(C102,Config!$E$4:$E$5,0)),0),0)</f>
        <v>0</v>
      </c>
      <c r="G102" s="12"/>
      <c r="H102" s="12" t="str">
        <f>IF(C102="Forecasting",IFERROR(INDEX(Config!$B$4:$B$6,MATCH(D102,Config!$A$4:$A$6,0)),""),"")</f>
        <v/>
      </c>
      <c r="I102" s="13">
        <f>IF(C102&lt;&gt;"Forecasting",0,IF(G102="",0,IF(ROUND(G102,4)&gt;=ROUND(H102,4),INDEX(Config!$G$4:$G$5,MATCH(C102,Config!$E$4:$E$5,0)),IF(ROUND(G102,4)&gt;=ROUND(H102-INDEX(Config!$C$4:$C$6,MATCH(D102,Config!$A$4:$A$6,0)),4),MAX(1,((G102-(H102-INDEX(Config!$C$4:$C$6,MATCH(D102,Config!$A$4:$A$6,0))))/INDEX(Config!$C$4:$C$6,MATCH(D102,Config!$A$4:$A$6,0)))*INDEX(Config!$G$4:$G$5,MATCH(C102,Config!$E$4:$E$5,0))),0))))</f>
        <v>0</v>
      </c>
      <c r="J102" s="13">
        <f t="shared" si="4"/>
        <v>0</v>
      </c>
      <c r="K102" s="12"/>
      <c r="L102" s="13">
        <f>IF(K102="",0,IF(K102&gt;=Config!$B$12,0,IF(K102&gt;Config!$F$14,INDEX(Config!$H$4:$H$5,MATCH(C102,Config!$E$4:$E$5,0))*Config!$F$11,INDEX(Config!$H$4:$H$5,MATCH(C102,Config!$E$4:$E$5,0)))))</f>
        <v>0</v>
      </c>
      <c r="M102" s="13">
        <f>IF(K102="",0,IF(K102&gt;=Config!$B$12,0,IF(K102&gt;=0.96,0,IF(K102&gt;=0.9,Config!$F$12,Config!$F$13))))</f>
        <v>0</v>
      </c>
      <c r="O102" s="11">
        <f>IF(N102="Pass",IFERROR(INDEX(Config!$I$4:$I$5,MATCH(C102,Config!$E$4:$E$5,0)),0),0)</f>
        <v>0</v>
      </c>
      <c r="P102" s="13">
        <f t="shared" si="5"/>
        <v>0</v>
      </c>
      <c r="Q102" s="11" t="str">
        <f t="shared" si="6"/>
        <v/>
      </c>
      <c r="R102" s="11" t="str">
        <f t="shared" si="7"/>
        <v/>
      </c>
    </row>
    <row r="103" spans="1:18" x14ac:dyDescent="0.25">
      <c r="A103" s="10"/>
      <c r="F103" s="11">
        <f>IF(E103="Pass",IFERROR(INDEX(Config!$F$4:$F$5,MATCH(C103,Config!$E$4:$E$5,0)),0),0)</f>
        <v>0</v>
      </c>
      <c r="G103" s="12"/>
      <c r="H103" s="12" t="str">
        <f>IF(C103="Forecasting",IFERROR(INDEX(Config!$B$4:$B$6,MATCH(D103,Config!$A$4:$A$6,0)),""),"")</f>
        <v/>
      </c>
      <c r="I103" s="13">
        <f>IF(C103&lt;&gt;"Forecasting",0,IF(G103="",0,IF(ROUND(G103,4)&gt;=ROUND(H103,4),INDEX(Config!$G$4:$G$5,MATCH(C103,Config!$E$4:$E$5,0)),IF(ROUND(G103,4)&gt;=ROUND(H103-INDEX(Config!$C$4:$C$6,MATCH(D103,Config!$A$4:$A$6,0)),4),MAX(1,((G103-(H103-INDEX(Config!$C$4:$C$6,MATCH(D103,Config!$A$4:$A$6,0))))/INDEX(Config!$C$4:$C$6,MATCH(D103,Config!$A$4:$A$6,0)))*INDEX(Config!$G$4:$G$5,MATCH(C103,Config!$E$4:$E$5,0))),0))))</f>
        <v>0</v>
      </c>
      <c r="J103" s="13">
        <f t="shared" si="4"/>
        <v>0</v>
      </c>
      <c r="K103" s="12"/>
      <c r="L103" s="13">
        <f>IF(K103="",0,IF(K103&gt;=Config!$B$12,0,IF(K103&gt;Config!$F$14,INDEX(Config!$H$4:$H$5,MATCH(C103,Config!$E$4:$E$5,0))*Config!$F$11,INDEX(Config!$H$4:$H$5,MATCH(C103,Config!$E$4:$E$5,0)))))</f>
        <v>0</v>
      </c>
      <c r="M103" s="13">
        <f>IF(K103="",0,IF(K103&gt;=Config!$B$12,0,IF(K103&gt;=0.96,0,IF(K103&gt;=0.9,Config!$F$12,Config!$F$13))))</f>
        <v>0</v>
      </c>
      <c r="O103" s="11">
        <f>IF(N103="Pass",IFERROR(INDEX(Config!$I$4:$I$5,MATCH(C103,Config!$E$4:$E$5,0)),0),0)</f>
        <v>0</v>
      </c>
      <c r="P103" s="13">
        <f t="shared" si="5"/>
        <v>0</v>
      </c>
      <c r="Q103" s="11" t="str">
        <f t="shared" si="6"/>
        <v/>
      </c>
      <c r="R103" s="11" t="str">
        <f t="shared" si="7"/>
        <v/>
      </c>
    </row>
    <row r="104" spans="1:18" x14ac:dyDescent="0.25">
      <c r="A104" s="10"/>
      <c r="F104" s="11">
        <f>IF(E104="Pass",IFERROR(INDEX(Config!$F$4:$F$5,MATCH(C104,Config!$E$4:$E$5,0)),0),0)</f>
        <v>0</v>
      </c>
      <c r="G104" s="12"/>
      <c r="H104" s="12" t="str">
        <f>IF(C104="Forecasting",IFERROR(INDEX(Config!$B$4:$B$6,MATCH(D104,Config!$A$4:$A$6,0)),""),"")</f>
        <v/>
      </c>
      <c r="I104" s="13">
        <f>IF(C104&lt;&gt;"Forecasting",0,IF(G104="",0,IF(ROUND(G104,4)&gt;=ROUND(H104,4),INDEX(Config!$G$4:$G$5,MATCH(C104,Config!$E$4:$E$5,0)),IF(ROUND(G104,4)&gt;=ROUND(H104-INDEX(Config!$C$4:$C$6,MATCH(D104,Config!$A$4:$A$6,0)),4),MAX(1,((G104-(H104-INDEX(Config!$C$4:$C$6,MATCH(D104,Config!$A$4:$A$6,0))))/INDEX(Config!$C$4:$C$6,MATCH(D104,Config!$A$4:$A$6,0)))*INDEX(Config!$G$4:$G$5,MATCH(C104,Config!$E$4:$E$5,0))),0))))</f>
        <v>0</v>
      </c>
      <c r="J104" s="13">
        <f t="shared" si="4"/>
        <v>0</v>
      </c>
      <c r="K104" s="12"/>
      <c r="L104" s="13">
        <f>IF(K104="",0,IF(K104&gt;=Config!$B$12,0,IF(K104&gt;Config!$F$14,INDEX(Config!$H$4:$H$5,MATCH(C104,Config!$E$4:$E$5,0))*Config!$F$11,INDEX(Config!$H$4:$H$5,MATCH(C104,Config!$E$4:$E$5,0)))))</f>
        <v>0</v>
      </c>
      <c r="M104" s="13">
        <f>IF(K104="",0,IF(K104&gt;=Config!$B$12,0,IF(K104&gt;=0.96,0,IF(K104&gt;=0.9,Config!$F$12,Config!$F$13))))</f>
        <v>0</v>
      </c>
      <c r="O104" s="11">
        <f>IF(N104="Pass",IFERROR(INDEX(Config!$I$4:$I$5,MATCH(C104,Config!$E$4:$E$5,0)),0),0)</f>
        <v>0</v>
      </c>
      <c r="P104" s="13">
        <f t="shared" si="5"/>
        <v>0</v>
      </c>
      <c r="Q104" s="11" t="str">
        <f t="shared" si="6"/>
        <v/>
      </c>
      <c r="R104" s="11" t="str">
        <f t="shared" si="7"/>
        <v/>
      </c>
    </row>
    <row r="105" spans="1:18" x14ac:dyDescent="0.25">
      <c r="A105" s="10"/>
      <c r="F105" s="11">
        <f>IF(E105="Pass",IFERROR(INDEX(Config!$F$4:$F$5,MATCH(C105,Config!$E$4:$E$5,0)),0),0)</f>
        <v>0</v>
      </c>
      <c r="G105" s="12"/>
      <c r="H105" s="12" t="str">
        <f>IF(C105="Forecasting",IFERROR(INDEX(Config!$B$4:$B$6,MATCH(D105,Config!$A$4:$A$6,0)),""),"")</f>
        <v/>
      </c>
      <c r="I105" s="13">
        <f>IF(C105&lt;&gt;"Forecasting",0,IF(G105="",0,IF(ROUND(G105,4)&gt;=ROUND(H105,4),INDEX(Config!$G$4:$G$5,MATCH(C105,Config!$E$4:$E$5,0)),IF(ROUND(G105,4)&gt;=ROUND(H105-INDEX(Config!$C$4:$C$6,MATCH(D105,Config!$A$4:$A$6,0)),4),MAX(1,((G105-(H105-INDEX(Config!$C$4:$C$6,MATCH(D105,Config!$A$4:$A$6,0))))/INDEX(Config!$C$4:$C$6,MATCH(D105,Config!$A$4:$A$6,0)))*INDEX(Config!$G$4:$G$5,MATCH(C105,Config!$E$4:$E$5,0))),0))))</f>
        <v>0</v>
      </c>
      <c r="J105" s="13">
        <f t="shared" si="4"/>
        <v>0</v>
      </c>
      <c r="K105" s="12"/>
      <c r="L105" s="13">
        <f>IF(K105="",0,IF(K105&gt;=Config!$B$12,0,IF(K105&gt;Config!$F$14,INDEX(Config!$H$4:$H$5,MATCH(C105,Config!$E$4:$E$5,0))*Config!$F$11,INDEX(Config!$H$4:$H$5,MATCH(C105,Config!$E$4:$E$5,0)))))</f>
        <v>0</v>
      </c>
      <c r="M105" s="13">
        <f>IF(K105="",0,IF(K105&gt;=Config!$B$12,0,IF(K105&gt;=0.96,0,IF(K105&gt;=0.9,Config!$F$12,Config!$F$13))))</f>
        <v>0</v>
      </c>
      <c r="O105" s="11">
        <f>IF(N105="Pass",IFERROR(INDEX(Config!$I$4:$I$5,MATCH(C105,Config!$E$4:$E$5,0)),0),0)</f>
        <v>0</v>
      </c>
      <c r="P105" s="13">
        <f t="shared" si="5"/>
        <v>0</v>
      </c>
      <c r="Q105" s="11" t="str">
        <f t="shared" si="6"/>
        <v/>
      </c>
      <c r="R105" s="11" t="str">
        <f t="shared" si="7"/>
        <v/>
      </c>
    </row>
    <row r="106" spans="1:18" x14ac:dyDescent="0.25">
      <c r="A106" s="10"/>
      <c r="F106" s="11">
        <f>IF(E106="Pass",IFERROR(INDEX(Config!$F$4:$F$5,MATCH(C106,Config!$E$4:$E$5,0)),0),0)</f>
        <v>0</v>
      </c>
      <c r="G106" s="12"/>
      <c r="H106" s="12" t="str">
        <f>IF(C106="Forecasting",IFERROR(INDEX(Config!$B$4:$B$6,MATCH(D106,Config!$A$4:$A$6,0)),""),"")</f>
        <v/>
      </c>
      <c r="I106" s="13">
        <f>IF(C106&lt;&gt;"Forecasting",0,IF(G106="",0,IF(ROUND(G106,4)&gt;=ROUND(H106,4),INDEX(Config!$G$4:$G$5,MATCH(C106,Config!$E$4:$E$5,0)),IF(ROUND(G106,4)&gt;=ROUND(H106-INDEX(Config!$C$4:$C$6,MATCH(D106,Config!$A$4:$A$6,0)),4),MAX(1,((G106-(H106-INDEX(Config!$C$4:$C$6,MATCH(D106,Config!$A$4:$A$6,0))))/INDEX(Config!$C$4:$C$6,MATCH(D106,Config!$A$4:$A$6,0)))*INDEX(Config!$G$4:$G$5,MATCH(C106,Config!$E$4:$E$5,0))),0))))</f>
        <v>0</v>
      </c>
      <c r="J106" s="13">
        <f t="shared" si="4"/>
        <v>0</v>
      </c>
      <c r="K106" s="12"/>
      <c r="L106" s="13">
        <f>IF(K106="",0,IF(K106&gt;=Config!$B$12,0,IF(K106&gt;Config!$F$14,INDEX(Config!$H$4:$H$5,MATCH(C106,Config!$E$4:$E$5,0))*Config!$F$11,INDEX(Config!$H$4:$H$5,MATCH(C106,Config!$E$4:$E$5,0)))))</f>
        <v>0</v>
      </c>
      <c r="M106" s="13">
        <f>IF(K106="",0,IF(K106&gt;=Config!$B$12,0,IF(K106&gt;=0.96,0,IF(K106&gt;=0.9,Config!$F$12,Config!$F$13))))</f>
        <v>0</v>
      </c>
      <c r="O106" s="11">
        <f>IF(N106="Pass",IFERROR(INDEX(Config!$I$4:$I$5,MATCH(C106,Config!$E$4:$E$5,0)),0),0)</f>
        <v>0</v>
      </c>
      <c r="P106" s="13">
        <f t="shared" si="5"/>
        <v>0</v>
      </c>
      <c r="Q106" s="11" t="str">
        <f t="shared" si="6"/>
        <v/>
      </c>
      <c r="R106" s="11" t="str">
        <f t="shared" si="7"/>
        <v/>
      </c>
    </row>
    <row r="107" spans="1:18" x14ac:dyDescent="0.25">
      <c r="A107" s="10"/>
      <c r="F107" s="11">
        <f>IF(E107="Pass",IFERROR(INDEX(Config!$F$4:$F$5,MATCH(C107,Config!$E$4:$E$5,0)),0),0)</f>
        <v>0</v>
      </c>
      <c r="G107" s="12"/>
      <c r="H107" s="12" t="str">
        <f>IF(C107="Forecasting",IFERROR(INDEX(Config!$B$4:$B$6,MATCH(D107,Config!$A$4:$A$6,0)),""),"")</f>
        <v/>
      </c>
      <c r="I107" s="13">
        <f>IF(C107&lt;&gt;"Forecasting",0,IF(G107="",0,IF(ROUND(G107,4)&gt;=ROUND(H107,4),INDEX(Config!$G$4:$G$5,MATCH(C107,Config!$E$4:$E$5,0)),IF(ROUND(G107,4)&gt;=ROUND(H107-INDEX(Config!$C$4:$C$6,MATCH(D107,Config!$A$4:$A$6,0)),4),MAX(1,((G107-(H107-INDEX(Config!$C$4:$C$6,MATCH(D107,Config!$A$4:$A$6,0))))/INDEX(Config!$C$4:$C$6,MATCH(D107,Config!$A$4:$A$6,0)))*INDEX(Config!$G$4:$G$5,MATCH(C107,Config!$E$4:$E$5,0))),0))))</f>
        <v>0</v>
      </c>
      <c r="J107" s="13">
        <f t="shared" si="4"/>
        <v>0</v>
      </c>
      <c r="K107" s="12"/>
      <c r="L107" s="13">
        <f>IF(K107="",0,IF(K107&gt;=Config!$B$12,0,IF(K107&gt;Config!$F$14,INDEX(Config!$H$4:$H$5,MATCH(C107,Config!$E$4:$E$5,0))*Config!$F$11,INDEX(Config!$H$4:$H$5,MATCH(C107,Config!$E$4:$E$5,0)))))</f>
        <v>0</v>
      </c>
      <c r="M107" s="13">
        <f>IF(K107="",0,IF(K107&gt;=Config!$B$12,0,IF(K107&gt;=0.96,0,IF(K107&gt;=0.9,Config!$F$12,Config!$F$13))))</f>
        <v>0</v>
      </c>
      <c r="O107" s="11">
        <f>IF(N107="Pass",IFERROR(INDEX(Config!$I$4:$I$5,MATCH(C107,Config!$E$4:$E$5,0)),0),0)</f>
        <v>0</v>
      </c>
      <c r="P107" s="13">
        <f t="shared" si="5"/>
        <v>0</v>
      </c>
      <c r="Q107" s="11" t="str">
        <f t="shared" si="6"/>
        <v/>
      </c>
      <c r="R107" s="11" t="str">
        <f t="shared" si="7"/>
        <v/>
      </c>
    </row>
    <row r="108" spans="1:18" x14ac:dyDescent="0.25">
      <c r="A108" s="10"/>
      <c r="F108" s="11">
        <f>IF(E108="Pass",IFERROR(INDEX(Config!$F$4:$F$5,MATCH(C108,Config!$E$4:$E$5,0)),0),0)</f>
        <v>0</v>
      </c>
      <c r="G108" s="12"/>
      <c r="H108" s="12" t="str">
        <f>IF(C108="Forecasting",IFERROR(INDEX(Config!$B$4:$B$6,MATCH(D108,Config!$A$4:$A$6,0)),""),"")</f>
        <v/>
      </c>
      <c r="I108" s="13">
        <f>IF(C108&lt;&gt;"Forecasting",0,IF(G108="",0,IF(ROUND(G108,4)&gt;=ROUND(H108,4),INDEX(Config!$G$4:$G$5,MATCH(C108,Config!$E$4:$E$5,0)),IF(ROUND(G108,4)&gt;=ROUND(H108-INDEX(Config!$C$4:$C$6,MATCH(D108,Config!$A$4:$A$6,0)),4),MAX(1,((G108-(H108-INDEX(Config!$C$4:$C$6,MATCH(D108,Config!$A$4:$A$6,0))))/INDEX(Config!$C$4:$C$6,MATCH(D108,Config!$A$4:$A$6,0)))*INDEX(Config!$G$4:$G$5,MATCH(C108,Config!$E$4:$E$5,0))),0))))</f>
        <v>0</v>
      </c>
      <c r="J108" s="13">
        <f t="shared" si="4"/>
        <v>0</v>
      </c>
      <c r="K108" s="12"/>
      <c r="L108" s="13">
        <f>IF(K108="",0,IF(K108&gt;=Config!$B$12,0,IF(K108&gt;Config!$F$14,INDEX(Config!$H$4:$H$5,MATCH(C108,Config!$E$4:$E$5,0))*Config!$F$11,INDEX(Config!$H$4:$H$5,MATCH(C108,Config!$E$4:$E$5,0)))))</f>
        <v>0</v>
      </c>
      <c r="M108" s="13">
        <f>IF(K108="",0,IF(K108&gt;=Config!$B$12,0,IF(K108&gt;=0.96,0,IF(K108&gt;=0.9,Config!$F$12,Config!$F$13))))</f>
        <v>0</v>
      </c>
      <c r="O108" s="11">
        <f>IF(N108="Pass",IFERROR(INDEX(Config!$I$4:$I$5,MATCH(C108,Config!$E$4:$E$5,0)),0),0)</f>
        <v>0</v>
      </c>
      <c r="P108" s="13">
        <f t="shared" si="5"/>
        <v>0</v>
      </c>
      <c r="Q108" s="11" t="str">
        <f t="shared" si="6"/>
        <v/>
      </c>
      <c r="R108" s="11" t="str">
        <f t="shared" si="7"/>
        <v/>
      </c>
    </row>
    <row r="109" spans="1:18" x14ac:dyDescent="0.25">
      <c r="A109" s="10"/>
      <c r="F109" s="11">
        <f>IF(E109="Pass",IFERROR(INDEX(Config!$F$4:$F$5,MATCH(C109,Config!$E$4:$E$5,0)),0),0)</f>
        <v>0</v>
      </c>
      <c r="G109" s="12"/>
      <c r="H109" s="12" t="str">
        <f>IF(C109="Forecasting",IFERROR(INDEX(Config!$B$4:$B$6,MATCH(D109,Config!$A$4:$A$6,0)),""),"")</f>
        <v/>
      </c>
      <c r="I109" s="13">
        <f>IF(C109&lt;&gt;"Forecasting",0,IF(G109="",0,IF(ROUND(G109,4)&gt;=ROUND(H109,4),INDEX(Config!$G$4:$G$5,MATCH(C109,Config!$E$4:$E$5,0)),IF(ROUND(G109,4)&gt;=ROUND(H109-INDEX(Config!$C$4:$C$6,MATCH(D109,Config!$A$4:$A$6,0)),4),MAX(1,((G109-(H109-INDEX(Config!$C$4:$C$6,MATCH(D109,Config!$A$4:$A$6,0))))/INDEX(Config!$C$4:$C$6,MATCH(D109,Config!$A$4:$A$6,0)))*INDEX(Config!$G$4:$G$5,MATCH(C109,Config!$E$4:$E$5,0))),0))))</f>
        <v>0</v>
      </c>
      <c r="J109" s="13">
        <f t="shared" si="4"/>
        <v>0</v>
      </c>
      <c r="K109" s="12"/>
      <c r="L109" s="13">
        <f>IF(K109="",0,IF(K109&gt;=Config!$B$12,0,IF(K109&gt;Config!$F$14,INDEX(Config!$H$4:$H$5,MATCH(C109,Config!$E$4:$E$5,0))*Config!$F$11,INDEX(Config!$H$4:$H$5,MATCH(C109,Config!$E$4:$E$5,0)))))</f>
        <v>0</v>
      </c>
      <c r="M109" s="13">
        <f>IF(K109="",0,IF(K109&gt;=Config!$B$12,0,IF(K109&gt;=0.96,0,IF(K109&gt;=0.9,Config!$F$12,Config!$F$13))))</f>
        <v>0</v>
      </c>
      <c r="O109" s="11">
        <f>IF(N109="Pass",IFERROR(INDEX(Config!$I$4:$I$5,MATCH(C109,Config!$E$4:$E$5,0)),0),0)</f>
        <v>0</v>
      </c>
      <c r="P109" s="13">
        <f t="shared" si="5"/>
        <v>0</v>
      </c>
      <c r="Q109" s="11" t="str">
        <f t="shared" si="6"/>
        <v/>
      </c>
      <c r="R109" s="11" t="str">
        <f t="shared" si="7"/>
        <v/>
      </c>
    </row>
    <row r="110" spans="1:18" x14ac:dyDescent="0.25">
      <c r="A110" s="10"/>
      <c r="F110" s="11">
        <f>IF(E110="Pass",IFERROR(INDEX(Config!$F$4:$F$5,MATCH(C110,Config!$E$4:$E$5,0)),0),0)</f>
        <v>0</v>
      </c>
      <c r="G110" s="12"/>
      <c r="H110" s="12" t="str">
        <f>IF(C110="Forecasting",IFERROR(INDEX(Config!$B$4:$B$6,MATCH(D110,Config!$A$4:$A$6,0)),""),"")</f>
        <v/>
      </c>
      <c r="I110" s="13">
        <f>IF(C110&lt;&gt;"Forecasting",0,IF(G110="",0,IF(ROUND(G110,4)&gt;=ROUND(H110,4),INDEX(Config!$G$4:$G$5,MATCH(C110,Config!$E$4:$E$5,0)),IF(ROUND(G110,4)&gt;=ROUND(H110-INDEX(Config!$C$4:$C$6,MATCH(D110,Config!$A$4:$A$6,0)),4),MAX(1,((G110-(H110-INDEX(Config!$C$4:$C$6,MATCH(D110,Config!$A$4:$A$6,0))))/INDEX(Config!$C$4:$C$6,MATCH(D110,Config!$A$4:$A$6,0)))*INDEX(Config!$G$4:$G$5,MATCH(C110,Config!$E$4:$E$5,0))),0))))</f>
        <v>0</v>
      </c>
      <c r="J110" s="13">
        <f t="shared" si="4"/>
        <v>0</v>
      </c>
      <c r="K110" s="12"/>
      <c r="L110" s="13">
        <f>IF(K110="",0,IF(K110&gt;=Config!$B$12,0,IF(K110&gt;Config!$F$14,INDEX(Config!$H$4:$H$5,MATCH(C110,Config!$E$4:$E$5,0))*Config!$F$11,INDEX(Config!$H$4:$H$5,MATCH(C110,Config!$E$4:$E$5,0)))))</f>
        <v>0</v>
      </c>
      <c r="M110" s="13">
        <f>IF(K110="",0,IF(K110&gt;=Config!$B$12,0,IF(K110&gt;=0.96,0,IF(K110&gt;=0.9,Config!$F$12,Config!$F$13))))</f>
        <v>0</v>
      </c>
      <c r="O110" s="11">
        <f>IF(N110="Pass",IFERROR(INDEX(Config!$I$4:$I$5,MATCH(C110,Config!$E$4:$E$5,0)),0),0)</f>
        <v>0</v>
      </c>
      <c r="P110" s="13">
        <f t="shared" si="5"/>
        <v>0</v>
      </c>
      <c r="Q110" s="11" t="str">
        <f t="shared" si="6"/>
        <v/>
      </c>
      <c r="R110" s="11" t="str">
        <f t="shared" si="7"/>
        <v/>
      </c>
    </row>
    <row r="111" spans="1:18" x14ac:dyDescent="0.25">
      <c r="A111" s="10"/>
      <c r="F111" s="11">
        <f>IF(E111="Pass",IFERROR(INDEX(Config!$F$4:$F$5,MATCH(C111,Config!$E$4:$E$5,0)),0),0)</f>
        <v>0</v>
      </c>
      <c r="G111" s="12"/>
      <c r="H111" s="12" t="str">
        <f>IF(C111="Forecasting",IFERROR(INDEX(Config!$B$4:$B$6,MATCH(D111,Config!$A$4:$A$6,0)),""),"")</f>
        <v/>
      </c>
      <c r="I111" s="13">
        <f>IF(C111&lt;&gt;"Forecasting",0,IF(G111="",0,IF(ROUND(G111,4)&gt;=ROUND(H111,4),INDEX(Config!$G$4:$G$5,MATCH(C111,Config!$E$4:$E$5,0)),IF(ROUND(G111,4)&gt;=ROUND(H111-INDEX(Config!$C$4:$C$6,MATCH(D111,Config!$A$4:$A$6,0)),4),MAX(1,((G111-(H111-INDEX(Config!$C$4:$C$6,MATCH(D111,Config!$A$4:$A$6,0))))/INDEX(Config!$C$4:$C$6,MATCH(D111,Config!$A$4:$A$6,0)))*INDEX(Config!$G$4:$G$5,MATCH(C111,Config!$E$4:$E$5,0))),0))))</f>
        <v>0</v>
      </c>
      <c r="J111" s="13">
        <f t="shared" si="4"/>
        <v>0</v>
      </c>
      <c r="K111" s="12"/>
      <c r="L111" s="13">
        <f>IF(K111="",0,IF(K111&gt;=Config!$B$12,0,IF(K111&gt;Config!$F$14,INDEX(Config!$H$4:$H$5,MATCH(C111,Config!$E$4:$E$5,0))*Config!$F$11,INDEX(Config!$H$4:$H$5,MATCH(C111,Config!$E$4:$E$5,0)))))</f>
        <v>0</v>
      </c>
      <c r="M111" s="13">
        <f>IF(K111="",0,IF(K111&gt;=Config!$B$12,0,IF(K111&gt;=0.96,0,IF(K111&gt;=0.9,Config!$F$12,Config!$F$13))))</f>
        <v>0</v>
      </c>
      <c r="O111" s="11">
        <f>IF(N111="Pass",IFERROR(INDEX(Config!$I$4:$I$5,MATCH(C111,Config!$E$4:$E$5,0)),0),0)</f>
        <v>0</v>
      </c>
      <c r="P111" s="13">
        <f t="shared" si="5"/>
        <v>0</v>
      </c>
      <c r="Q111" s="11" t="str">
        <f t="shared" si="6"/>
        <v/>
      </c>
      <c r="R111" s="11" t="str">
        <f t="shared" si="7"/>
        <v/>
      </c>
    </row>
    <row r="112" spans="1:18" x14ac:dyDescent="0.25">
      <c r="A112" s="10"/>
      <c r="F112" s="11">
        <f>IF(E112="Pass",IFERROR(INDEX(Config!$F$4:$F$5,MATCH(C112,Config!$E$4:$E$5,0)),0),0)</f>
        <v>0</v>
      </c>
      <c r="G112" s="12"/>
      <c r="H112" s="12" t="str">
        <f>IF(C112="Forecasting",IFERROR(INDEX(Config!$B$4:$B$6,MATCH(D112,Config!$A$4:$A$6,0)),""),"")</f>
        <v/>
      </c>
      <c r="I112" s="13">
        <f>IF(C112&lt;&gt;"Forecasting",0,IF(G112="",0,IF(ROUND(G112,4)&gt;=ROUND(H112,4),INDEX(Config!$G$4:$G$5,MATCH(C112,Config!$E$4:$E$5,0)),IF(ROUND(G112,4)&gt;=ROUND(H112-INDEX(Config!$C$4:$C$6,MATCH(D112,Config!$A$4:$A$6,0)),4),MAX(1,((G112-(H112-INDEX(Config!$C$4:$C$6,MATCH(D112,Config!$A$4:$A$6,0))))/INDEX(Config!$C$4:$C$6,MATCH(D112,Config!$A$4:$A$6,0)))*INDEX(Config!$G$4:$G$5,MATCH(C112,Config!$E$4:$E$5,0))),0))))</f>
        <v>0</v>
      </c>
      <c r="J112" s="13">
        <f t="shared" si="4"/>
        <v>0</v>
      </c>
      <c r="K112" s="12"/>
      <c r="L112" s="13">
        <f>IF(K112="",0,IF(K112&gt;=Config!$B$12,0,IF(K112&gt;Config!$F$14,INDEX(Config!$H$4:$H$5,MATCH(C112,Config!$E$4:$E$5,0))*Config!$F$11,INDEX(Config!$H$4:$H$5,MATCH(C112,Config!$E$4:$E$5,0)))))</f>
        <v>0</v>
      </c>
      <c r="M112" s="13">
        <f>IF(K112="",0,IF(K112&gt;=Config!$B$12,0,IF(K112&gt;=0.96,0,IF(K112&gt;=0.9,Config!$F$12,Config!$F$13))))</f>
        <v>0</v>
      </c>
      <c r="O112" s="11">
        <f>IF(N112="Pass",IFERROR(INDEX(Config!$I$4:$I$5,MATCH(C112,Config!$E$4:$E$5,0)),0),0)</f>
        <v>0</v>
      </c>
      <c r="P112" s="13">
        <f t="shared" si="5"/>
        <v>0</v>
      </c>
      <c r="Q112" s="11" t="str">
        <f t="shared" si="6"/>
        <v/>
      </c>
      <c r="R112" s="11" t="str">
        <f t="shared" si="7"/>
        <v/>
      </c>
    </row>
    <row r="113" spans="1:18" x14ac:dyDescent="0.25">
      <c r="A113" s="10"/>
      <c r="F113" s="11">
        <f>IF(E113="Pass",IFERROR(INDEX(Config!$F$4:$F$5,MATCH(C113,Config!$E$4:$E$5,0)),0),0)</f>
        <v>0</v>
      </c>
      <c r="G113" s="12"/>
      <c r="H113" s="12" t="str">
        <f>IF(C113="Forecasting",IFERROR(INDEX(Config!$B$4:$B$6,MATCH(D113,Config!$A$4:$A$6,0)),""),"")</f>
        <v/>
      </c>
      <c r="I113" s="13">
        <f>IF(C113&lt;&gt;"Forecasting",0,IF(G113="",0,IF(ROUND(G113,4)&gt;=ROUND(H113,4),INDEX(Config!$G$4:$G$5,MATCH(C113,Config!$E$4:$E$5,0)),IF(ROUND(G113,4)&gt;=ROUND(H113-INDEX(Config!$C$4:$C$6,MATCH(D113,Config!$A$4:$A$6,0)),4),MAX(1,((G113-(H113-INDEX(Config!$C$4:$C$6,MATCH(D113,Config!$A$4:$A$6,0))))/INDEX(Config!$C$4:$C$6,MATCH(D113,Config!$A$4:$A$6,0)))*INDEX(Config!$G$4:$G$5,MATCH(C113,Config!$E$4:$E$5,0))),0))))</f>
        <v>0</v>
      </c>
      <c r="J113" s="13">
        <f t="shared" si="4"/>
        <v>0</v>
      </c>
      <c r="K113" s="12"/>
      <c r="L113" s="13">
        <f>IF(K113="",0,IF(K113&gt;=Config!$B$12,0,IF(K113&gt;Config!$F$14,INDEX(Config!$H$4:$H$5,MATCH(C113,Config!$E$4:$E$5,0))*Config!$F$11,INDEX(Config!$H$4:$H$5,MATCH(C113,Config!$E$4:$E$5,0)))))</f>
        <v>0</v>
      </c>
      <c r="M113" s="13">
        <f>IF(K113="",0,IF(K113&gt;=Config!$B$12,0,IF(K113&gt;=0.96,0,IF(K113&gt;=0.9,Config!$F$12,Config!$F$13))))</f>
        <v>0</v>
      </c>
      <c r="O113" s="11">
        <f>IF(N113="Pass",IFERROR(INDEX(Config!$I$4:$I$5,MATCH(C113,Config!$E$4:$E$5,0)),0),0)</f>
        <v>0</v>
      </c>
      <c r="P113" s="13">
        <f t="shared" si="5"/>
        <v>0</v>
      </c>
      <c r="Q113" s="11" t="str">
        <f t="shared" si="6"/>
        <v/>
      </c>
      <c r="R113" s="11" t="str">
        <f t="shared" si="7"/>
        <v/>
      </c>
    </row>
    <row r="114" spans="1:18" x14ac:dyDescent="0.25">
      <c r="A114" s="10"/>
      <c r="F114" s="11">
        <f>IF(E114="Pass",IFERROR(INDEX(Config!$F$4:$F$5,MATCH(C114,Config!$E$4:$E$5,0)),0),0)</f>
        <v>0</v>
      </c>
      <c r="G114" s="12"/>
      <c r="H114" s="12" t="str">
        <f>IF(C114="Forecasting",IFERROR(INDEX(Config!$B$4:$B$6,MATCH(D114,Config!$A$4:$A$6,0)),""),"")</f>
        <v/>
      </c>
      <c r="I114" s="13">
        <f>IF(C114&lt;&gt;"Forecasting",0,IF(G114="",0,IF(ROUND(G114,4)&gt;=ROUND(H114,4),INDEX(Config!$G$4:$G$5,MATCH(C114,Config!$E$4:$E$5,0)),IF(ROUND(G114,4)&gt;=ROUND(H114-INDEX(Config!$C$4:$C$6,MATCH(D114,Config!$A$4:$A$6,0)),4),MAX(1,((G114-(H114-INDEX(Config!$C$4:$C$6,MATCH(D114,Config!$A$4:$A$6,0))))/INDEX(Config!$C$4:$C$6,MATCH(D114,Config!$A$4:$A$6,0)))*INDEX(Config!$G$4:$G$5,MATCH(C114,Config!$E$4:$E$5,0))),0))))</f>
        <v>0</v>
      </c>
      <c r="J114" s="13">
        <f t="shared" si="4"/>
        <v>0</v>
      </c>
      <c r="K114" s="12"/>
      <c r="L114" s="13">
        <f>IF(K114="",0,IF(K114&gt;=Config!$B$12,0,IF(K114&gt;Config!$F$14,INDEX(Config!$H$4:$H$5,MATCH(C114,Config!$E$4:$E$5,0))*Config!$F$11,INDEX(Config!$H$4:$H$5,MATCH(C114,Config!$E$4:$E$5,0)))))</f>
        <v>0</v>
      </c>
      <c r="M114" s="13">
        <f>IF(K114="",0,IF(K114&gt;=Config!$B$12,0,IF(K114&gt;=0.96,0,IF(K114&gt;=0.9,Config!$F$12,Config!$F$13))))</f>
        <v>0</v>
      </c>
      <c r="O114" s="11">
        <f>IF(N114="Pass",IFERROR(INDEX(Config!$I$4:$I$5,MATCH(C114,Config!$E$4:$E$5,0)),0),0)</f>
        <v>0</v>
      </c>
      <c r="P114" s="13">
        <f t="shared" si="5"/>
        <v>0</v>
      </c>
      <c r="Q114" s="11" t="str">
        <f t="shared" si="6"/>
        <v/>
      </c>
      <c r="R114" s="11" t="str">
        <f t="shared" si="7"/>
        <v/>
      </c>
    </row>
    <row r="115" spans="1:18" x14ac:dyDescent="0.25">
      <c r="A115" s="10"/>
      <c r="F115" s="11">
        <f>IF(E115="Pass",IFERROR(INDEX(Config!$F$4:$F$5,MATCH(C115,Config!$E$4:$E$5,0)),0),0)</f>
        <v>0</v>
      </c>
      <c r="G115" s="12"/>
      <c r="H115" s="12" t="str">
        <f>IF(C115="Forecasting",IFERROR(INDEX(Config!$B$4:$B$6,MATCH(D115,Config!$A$4:$A$6,0)),""),"")</f>
        <v/>
      </c>
      <c r="I11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15" s="13">
        <f t="shared" si="4"/>
        <v>0</v>
      </c>
      <c r="K115" s="12"/>
      <c r="L115" s="13">
        <f>IF(K115="",0,IF(K115&gt;=Config!$B$12,0,IF(K115&gt;Config!$F$14,INDEX(Config!$H$4:$H$5,MATCH(C115,Config!$E$4:$E$5,0))*Config!$F$11,INDEX(Config!$H$4:$H$5,MATCH(C115,Config!$E$4:$E$5,0)))))</f>
        <v>0</v>
      </c>
      <c r="M115" s="13">
        <f>IF(K115="",0,IF(K115&gt;=Config!$B$12,0,IF(K115&gt;=0.96,0,IF(K115&gt;=0.9,Config!$F$12,Config!$F$13))))</f>
        <v>0</v>
      </c>
      <c r="O115" s="11">
        <f>IF(N115="Pass",IFERROR(INDEX(Config!$I$4:$I$5,MATCH(C115,Config!$E$4:$E$5,0)),0),0)</f>
        <v>0</v>
      </c>
      <c r="P115" s="13">
        <f t="shared" si="5"/>
        <v>0</v>
      </c>
      <c r="Q115" s="11" t="str">
        <f t="shared" si="6"/>
        <v/>
      </c>
      <c r="R115" s="11" t="str">
        <f t="shared" si="7"/>
        <v/>
      </c>
    </row>
    <row r="116" spans="1:18" x14ac:dyDescent="0.25">
      <c r="A116" s="10"/>
      <c r="F116" s="11">
        <f>IF(E116="Pass",IFERROR(INDEX(Config!$F$4:$F$5,MATCH(C116,Config!$E$4:$E$5,0)),0),0)</f>
        <v>0</v>
      </c>
      <c r="G116" s="12"/>
      <c r="H116" s="12" t="str">
        <f>IF(C116="Forecasting",IFERROR(INDEX(Config!$B$4:$B$6,MATCH(D116,Config!$A$4:$A$6,0)),""),"")</f>
        <v/>
      </c>
      <c r="I11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16" s="13">
        <f t="shared" si="4"/>
        <v>0</v>
      </c>
      <c r="K116" s="12"/>
      <c r="L116" s="13">
        <f>IF(K116="",0,IF(K116&gt;=Config!$B$12,0,IF(K116&gt;Config!$F$14,INDEX(Config!$H$4:$H$5,MATCH(C116,Config!$E$4:$E$5,0))*Config!$F$11,INDEX(Config!$H$4:$H$5,MATCH(C116,Config!$E$4:$E$5,0)))))</f>
        <v>0</v>
      </c>
      <c r="M116" s="13">
        <f>IF(K116="",0,IF(K116&gt;=Config!$B$12,0,IF(K116&gt;=0.96,0,IF(K116&gt;=0.9,Config!$F$12,Config!$F$13))))</f>
        <v>0</v>
      </c>
      <c r="O116" s="11">
        <f>IF(N116="Pass",IFERROR(INDEX(Config!$I$4:$I$5,MATCH(C116,Config!$E$4:$E$5,0)),0),0)</f>
        <v>0</v>
      </c>
      <c r="P116" s="13">
        <f t="shared" si="5"/>
        <v>0</v>
      </c>
      <c r="Q116" s="11" t="str">
        <f t="shared" si="6"/>
        <v/>
      </c>
      <c r="R116" s="11" t="str">
        <f t="shared" si="7"/>
        <v/>
      </c>
    </row>
    <row r="117" spans="1:18" x14ac:dyDescent="0.25">
      <c r="A117" s="10"/>
      <c r="F117" s="11">
        <f>IF(E117="Pass",IFERROR(INDEX(Config!$F$4:$F$5,MATCH(C117,Config!$E$4:$E$5,0)),0),0)</f>
        <v>0</v>
      </c>
      <c r="G117" s="12"/>
      <c r="H117" s="12" t="str">
        <f>IF(C117="Forecasting",IFERROR(INDEX(Config!$B$4:$B$6,MATCH(D117,Config!$A$4:$A$6,0)),""),"")</f>
        <v/>
      </c>
      <c r="I11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17" s="13">
        <f t="shared" si="4"/>
        <v>0</v>
      </c>
      <c r="K117" s="12"/>
      <c r="L117" s="13">
        <f>IF(K117="",0,IF(K117&gt;=Config!$B$12,0,IF(K117&gt;Config!$F$14,INDEX(Config!$H$4:$H$5,MATCH(C117,Config!$E$4:$E$5,0))*Config!$F$11,INDEX(Config!$H$4:$H$5,MATCH(C117,Config!$E$4:$E$5,0)))))</f>
        <v>0</v>
      </c>
      <c r="M117" s="13">
        <f>IF(K117="",0,IF(K117&gt;=Config!$B$12,0,IF(K117&gt;=0.96,0,IF(K117&gt;=0.9,Config!$F$12,Config!$F$13))))</f>
        <v>0</v>
      </c>
      <c r="O117" s="11">
        <f>IF(N117="Pass",IFERROR(INDEX(Config!$I$4:$I$5,MATCH(C117,Config!$E$4:$E$5,0)),0),0)</f>
        <v>0</v>
      </c>
      <c r="P117" s="13">
        <f t="shared" si="5"/>
        <v>0</v>
      </c>
      <c r="Q117" s="11" t="str">
        <f t="shared" si="6"/>
        <v/>
      </c>
      <c r="R117" s="11" t="str">
        <f t="shared" si="7"/>
        <v/>
      </c>
    </row>
    <row r="118" spans="1:18" x14ac:dyDescent="0.25">
      <c r="A118" s="10"/>
      <c r="F118" s="11">
        <f>IF(E118="Pass",IFERROR(INDEX(Config!$F$4:$F$5,MATCH(C118,Config!$E$4:$E$5,0)),0),0)</f>
        <v>0</v>
      </c>
      <c r="G118" s="12"/>
      <c r="H118" s="12" t="str">
        <f>IF(C118="Forecasting",IFERROR(INDEX(Config!$B$4:$B$6,MATCH(D118,Config!$A$4:$A$6,0)),""),"")</f>
        <v/>
      </c>
      <c r="I11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18" s="13">
        <f t="shared" si="4"/>
        <v>0</v>
      </c>
      <c r="K118" s="12"/>
      <c r="L118" s="13">
        <f>IF(K118="",0,IF(K118&gt;=Config!$B$12,0,IF(K118&gt;Config!$F$14,INDEX(Config!$H$4:$H$5,MATCH(C118,Config!$E$4:$E$5,0))*Config!$F$11,INDEX(Config!$H$4:$H$5,MATCH(C118,Config!$E$4:$E$5,0)))))</f>
        <v>0</v>
      </c>
      <c r="M118" s="13">
        <f>IF(K118="",0,IF(K118&gt;=Config!$B$12,0,IF(K118&gt;=0.96,0,IF(K118&gt;=0.9,Config!$F$12,Config!$F$13))))</f>
        <v>0</v>
      </c>
      <c r="O118" s="11">
        <f>IF(N118="Pass",IFERROR(INDEX(Config!$I$4:$I$5,MATCH(C118,Config!$E$4:$E$5,0)),0),0)</f>
        <v>0</v>
      </c>
      <c r="P118" s="13">
        <f t="shared" si="5"/>
        <v>0</v>
      </c>
      <c r="Q118" s="11" t="str">
        <f t="shared" si="6"/>
        <v/>
      </c>
      <c r="R118" s="11" t="str">
        <f t="shared" si="7"/>
        <v/>
      </c>
    </row>
    <row r="119" spans="1:18" x14ac:dyDescent="0.25">
      <c r="A119" s="10"/>
      <c r="F119" s="11">
        <f>IF(E119="Pass",IFERROR(INDEX(Config!$F$4:$F$5,MATCH(C119,Config!$E$4:$E$5,0)),0),0)</f>
        <v>0</v>
      </c>
      <c r="G119" s="12"/>
      <c r="H119" s="12" t="str">
        <f>IF(C119="Forecasting",IFERROR(INDEX(Config!$B$4:$B$6,MATCH(D119,Config!$A$4:$A$6,0)),""),"")</f>
        <v/>
      </c>
      <c r="I11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19" s="13">
        <f t="shared" si="4"/>
        <v>0</v>
      </c>
      <c r="K119" s="12"/>
      <c r="L119" s="13">
        <f>IF(K119="",0,IF(K119&gt;=Config!$B$12,0,IF(K119&gt;Config!$F$14,INDEX(Config!$H$4:$H$5,MATCH(C119,Config!$E$4:$E$5,0))*Config!$F$11,INDEX(Config!$H$4:$H$5,MATCH(C119,Config!$E$4:$E$5,0)))))</f>
        <v>0</v>
      </c>
      <c r="M119" s="13">
        <f>IF(K119="",0,IF(K119&gt;=Config!$B$12,0,IF(K119&gt;=0.96,0,IF(K119&gt;=0.9,Config!$F$12,Config!$F$13))))</f>
        <v>0</v>
      </c>
      <c r="O119" s="11">
        <f>IF(N119="Pass",IFERROR(INDEX(Config!$I$4:$I$5,MATCH(C119,Config!$E$4:$E$5,0)),0),0)</f>
        <v>0</v>
      </c>
      <c r="P119" s="13">
        <f t="shared" si="5"/>
        <v>0</v>
      </c>
      <c r="Q119" s="11" t="str">
        <f t="shared" si="6"/>
        <v/>
      </c>
      <c r="R119" s="11" t="str">
        <f t="shared" si="7"/>
        <v/>
      </c>
    </row>
    <row r="120" spans="1:18" x14ac:dyDescent="0.25">
      <c r="A120" s="10"/>
      <c r="F120" s="11">
        <f>IF(E120="Pass",IFERROR(INDEX(Config!$F$4:$F$5,MATCH(C120,Config!$E$4:$E$5,0)),0),0)</f>
        <v>0</v>
      </c>
      <c r="G120" s="12"/>
      <c r="H120" s="12" t="str">
        <f>IF(C120="Forecasting",IFERROR(INDEX(Config!$B$4:$B$6,MATCH(D120,Config!$A$4:$A$6,0)),""),"")</f>
        <v/>
      </c>
      <c r="I12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0" s="13">
        <f t="shared" si="4"/>
        <v>0</v>
      </c>
      <c r="K120" s="12"/>
      <c r="L120" s="13">
        <f>IF(K120="",0,IF(K120&gt;=Config!$B$12,0,IF(K120&gt;Config!$F$14,INDEX(Config!$H$4:$H$5,MATCH(C120,Config!$E$4:$E$5,0))*Config!$F$11,INDEX(Config!$H$4:$H$5,MATCH(C120,Config!$E$4:$E$5,0)))))</f>
        <v>0</v>
      </c>
      <c r="M120" s="13">
        <f>IF(K120="",0,IF(K120&gt;=Config!$B$12,0,IF(K120&gt;=0.96,0,IF(K120&gt;=0.9,Config!$F$12,Config!$F$13))))</f>
        <v>0</v>
      </c>
      <c r="O120" s="11">
        <f>IF(N120="Pass",IFERROR(INDEX(Config!$I$4:$I$5,MATCH(C120,Config!$E$4:$E$5,0)),0),0)</f>
        <v>0</v>
      </c>
      <c r="P120" s="13">
        <f t="shared" si="5"/>
        <v>0</v>
      </c>
      <c r="Q120" s="11" t="str">
        <f t="shared" si="6"/>
        <v/>
      </c>
      <c r="R120" s="11" t="str">
        <f t="shared" si="7"/>
        <v/>
      </c>
    </row>
    <row r="121" spans="1:18" x14ac:dyDescent="0.25">
      <c r="A121" s="10"/>
      <c r="F121" s="11">
        <f>IF(E121="Pass",IFERROR(INDEX(Config!$F$4:$F$5,MATCH(C121,Config!$E$4:$E$5,0)),0),0)</f>
        <v>0</v>
      </c>
      <c r="G121" s="12"/>
      <c r="H121" s="12" t="str">
        <f>IF(C121="Forecasting",IFERROR(INDEX(Config!$B$4:$B$6,MATCH(D121,Config!$A$4:$A$6,0)),""),"")</f>
        <v/>
      </c>
      <c r="I12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1" s="13">
        <f t="shared" si="4"/>
        <v>0</v>
      </c>
      <c r="K121" s="12"/>
      <c r="L121" s="13">
        <f>IF(K121="",0,IF(K121&gt;=Config!$B$12,0,IF(K121&gt;Config!$F$14,INDEX(Config!$H$4:$H$5,MATCH(C121,Config!$E$4:$E$5,0))*Config!$F$11,INDEX(Config!$H$4:$H$5,MATCH(C121,Config!$E$4:$E$5,0)))))</f>
        <v>0</v>
      </c>
      <c r="M121" s="13">
        <f>IF(K121="",0,IF(K121&gt;=Config!$B$12,0,IF(K121&gt;=0.96,0,IF(K121&gt;=0.9,Config!$F$12,Config!$F$13))))</f>
        <v>0</v>
      </c>
      <c r="O121" s="11">
        <f>IF(N121="Pass",IFERROR(INDEX(Config!$I$4:$I$5,MATCH(C121,Config!$E$4:$E$5,0)),0),0)</f>
        <v>0</v>
      </c>
      <c r="P121" s="13">
        <f t="shared" si="5"/>
        <v>0</v>
      </c>
      <c r="Q121" s="11" t="str">
        <f t="shared" si="6"/>
        <v/>
      </c>
      <c r="R121" s="11" t="str">
        <f t="shared" si="7"/>
        <v/>
      </c>
    </row>
    <row r="122" spans="1:18" x14ac:dyDescent="0.25">
      <c r="A122" s="10"/>
      <c r="F122" s="11">
        <f>IF(E122="Pass",IFERROR(INDEX(Config!$F$4:$F$5,MATCH(C122,Config!$E$4:$E$5,0)),0),0)</f>
        <v>0</v>
      </c>
      <c r="G122" s="12"/>
      <c r="H122" s="12" t="str">
        <f>IF(C122="Forecasting",IFERROR(INDEX(Config!$B$4:$B$6,MATCH(D122,Config!$A$4:$A$6,0)),""),"")</f>
        <v/>
      </c>
      <c r="I12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2" s="13">
        <f t="shared" si="4"/>
        <v>0</v>
      </c>
      <c r="K122" s="12"/>
      <c r="L122" s="13">
        <f>IF(K122="",0,IF(K122&gt;=Config!$B$12,0,IF(K122&gt;Config!$F$14,INDEX(Config!$H$4:$H$5,MATCH(C122,Config!$E$4:$E$5,0))*Config!$F$11,INDEX(Config!$H$4:$H$5,MATCH(C122,Config!$E$4:$E$5,0)))))</f>
        <v>0</v>
      </c>
      <c r="M122" s="13">
        <f>IF(K122="",0,IF(K122&gt;=Config!$B$12,0,IF(K122&gt;=0.96,0,IF(K122&gt;=0.9,Config!$F$12,Config!$F$13))))</f>
        <v>0</v>
      </c>
      <c r="O122" s="11">
        <f>IF(N122="Pass",IFERROR(INDEX(Config!$I$4:$I$5,MATCH(C122,Config!$E$4:$E$5,0)),0),0)</f>
        <v>0</v>
      </c>
      <c r="P122" s="13">
        <f t="shared" si="5"/>
        <v>0</v>
      </c>
      <c r="Q122" s="11" t="str">
        <f t="shared" si="6"/>
        <v/>
      </c>
      <c r="R122" s="11" t="str">
        <f t="shared" si="7"/>
        <v/>
      </c>
    </row>
    <row r="123" spans="1:18" x14ac:dyDescent="0.25">
      <c r="A123" s="10"/>
      <c r="F123" s="11">
        <f>IF(E123="Pass",IFERROR(INDEX(Config!$F$4:$F$5,MATCH(C123,Config!$E$4:$E$5,0)),0),0)</f>
        <v>0</v>
      </c>
      <c r="G123" s="12"/>
      <c r="H123" s="12" t="str">
        <f>IF(C123="Forecasting",IFERROR(INDEX(Config!$B$4:$B$6,MATCH(D123,Config!$A$4:$A$6,0)),""),"")</f>
        <v/>
      </c>
      <c r="I12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3" s="13">
        <f t="shared" si="4"/>
        <v>0</v>
      </c>
      <c r="K123" s="12"/>
      <c r="L123" s="13">
        <f>IF(K123="",0,IF(K123&gt;=Config!$B$12,0,IF(K123&gt;Config!$F$14,INDEX(Config!$H$4:$H$5,MATCH(C123,Config!$E$4:$E$5,0))*Config!$F$11,INDEX(Config!$H$4:$H$5,MATCH(C123,Config!$E$4:$E$5,0)))))</f>
        <v>0</v>
      </c>
      <c r="M123" s="13">
        <f>IF(K123="",0,IF(K123&gt;=Config!$B$12,0,IF(K123&gt;=0.96,0,IF(K123&gt;=0.9,Config!$F$12,Config!$F$13))))</f>
        <v>0</v>
      </c>
      <c r="O123" s="11">
        <f>IF(N123="Pass",IFERROR(INDEX(Config!$I$4:$I$5,MATCH(C123,Config!$E$4:$E$5,0)),0),0)</f>
        <v>0</v>
      </c>
      <c r="P123" s="13">
        <f t="shared" si="5"/>
        <v>0</v>
      </c>
      <c r="Q123" s="11" t="str">
        <f t="shared" si="6"/>
        <v/>
      </c>
      <c r="R123" s="11" t="str">
        <f t="shared" si="7"/>
        <v/>
      </c>
    </row>
    <row r="124" spans="1:18" x14ac:dyDescent="0.25">
      <c r="A124" s="10"/>
      <c r="F124" s="11">
        <f>IF(E124="Pass",IFERROR(INDEX(Config!$F$4:$F$5,MATCH(C124,Config!$E$4:$E$5,0)),0),0)</f>
        <v>0</v>
      </c>
      <c r="G124" s="12"/>
      <c r="H124" s="12" t="str">
        <f>IF(C124="Forecasting",IFERROR(INDEX(Config!$B$4:$B$6,MATCH(D124,Config!$A$4:$A$6,0)),""),"")</f>
        <v/>
      </c>
      <c r="I12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4" s="13">
        <f t="shared" si="4"/>
        <v>0</v>
      </c>
      <c r="K124" s="12"/>
      <c r="L124" s="13">
        <f>IF(K124="",0,IF(K124&gt;=Config!$B$12,0,IF(K124&gt;Config!$F$14,INDEX(Config!$H$4:$H$5,MATCH(C124,Config!$E$4:$E$5,0))*Config!$F$11,INDEX(Config!$H$4:$H$5,MATCH(C124,Config!$E$4:$E$5,0)))))</f>
        <v>0</v>
      </c>
      <c r="M124" s="13">
        <f>IF(K124="",0,IF(K124&gt;=Config!$B$12,0,IF(K124&gt;=0.96,0,IF(K124&gt;=0.9,Config!$F$12,Config!$F$13))))</f>
        <v>0</v>
      </c>
      <c r="O124" s="11">
        <f>IF(N124="Pass",IFERROR(INDEX(Config!$I$4:$I$5,MATCH(C124,Config!$E$4:$E$5,0)),0),0)</f>
        <v>0</v>
      </c>
      <c r="P124" s="13">
        <f t="shared" si="5"/>
        <v>0</v>
      </c>
      <c r="Q124" s="11" t="str">
        <f t="shared" si="6"/>
        <v/>
      </c>
      <c r="R124" s="11" t="str">
        <f t="shared" si="7"/>
        <v/>
      </c>
    </row>
    <row r="125" spans="1:18" x14ac:dyDescent="0.25">
      <c r="A125" s="10"/>
      <c r="F125" s="11">
        <f>IF(E125="Pass",IFERROR(INDEX(Config!$F$4:$F$5,MATCH(C125,Config!$E$4:$E$5,0)),0),0)</f>
        <v>0</v>
      </c>
      <c r="G125" s="12"/>
      <c r="H125" s="12" t="str">
        <f>IF(C125="Forecasting",IFERROR(INDEX(Config!$B$4:$B$6,MATCH(D125,Config!$A$4:$A$6,0)),""),"")</f>
        <v/>
      </c>
      <c r="I12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5" s="13">
        <f t="shared" si="4"/>
        <v>0</v>
      </c>
      <c r="K125" s="12"/>
      <c r="L125" s="13">
        <f>IF(K125="",0,IF(K125&gt;=Config!$B$12,0,IF(K125&gt;Config!$F$14,INDEX(Config!$H$4:$H$5,MATCH(C125,Config!$E$4:$E$5,0))*Config!$F$11,INDEX(Config!$H$4:$H$5,MATCH(C125,Config!$E$4:$E$5,0)))))</f>
        <v>0</v>
      </c>
      <c r="M125" s="13">
        <f>IF(K125="",0,IF(K125&gt;=Config!$B$12,0,IF(K125&gt;=0.96,0,IF(K125&gt;=0.9,Config!$F$12,Config!$F$13))))</f>
        <v>0</v>
      </c>
      <c r="O125" s="11">
        <f>IF(N125="Pass",IFERROR(INDEX(Config!$I$4:$I$5,MATCH(C125,Config!$E$4:$E$5,0)),0),0)</f>
        <v>0</v>
      </c>
      <c r="P125" s="13">
        <f t="shared" si="5"/>
        <v>0</v>
      </c>
      <c r="Q125" s="11" t="str">
        <f t="shared" si="6"/>
        <v/>
      </c>
      <c r="R125" s="11" t="str">
        <f t="shared" si="7"/>
        <v/>
      </c>
    </row>
    <row r="126" spans="1:18" x14ac:dyDescent="0.25">
      <c r="A126" s="10"/>
      <c r="F126" s="11">
        <f>IF(E126="Pass",IFERROR(INDEX(Config!$F$4:$F$5,MATCH(C126,Config!$E$4:$E$5,0)),0),0)</f>
        <v>0</v>
      </c>
      <c r="G126" s="12"/>
      <c r="H126" s="12" t="str">
        <f>IF(C126="Forecasting",IFERROR(INDEX(Config!$B$4:$B$6,MATCH(D126,Config!$A$4:$A$6,0)),""),"")</f>
        <v/>
      </c>
      <c r="I12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6" s="13">
        <f t="shared" si="4"/>
        <v>0</v>
      </c>
      <c r="K126" s="12"/>
      <c r="L126" s="13">
        <f>IF(K126="",0,IF(K126&gt;=Config!$B$12,0,IF(K126&gt;Config!$F$14,INDEX(Config!$H$4:$H$5,MATCH(C126,Config!$E$4:$E$5,0))*Config!$F$11,INDEX(Config!$H$4:$H$5,MATCH(C126,Config!$E$4:$E$5,0)))))</f>
        <v>0</v>
      </c>
      <c r="M126" s="13">
        <f>IF(K126="",0,IF(K126&gt;=Config!$B$12,0,IF(K126&gt;=0.96,0,IF(K126&gt;=0.9,Config!$F$12,Config!$F$13))))</f>
        <v>0</v>
      </c>
      <c r="O126" s="11">
        <f>IF(N126="Pass",IFERROR(INDEX(Config!$I$4:$I$5,MATCH(C126,Config!$E$4:$E$5,0)),0),0)</f>
        <v>0</v>
      </c>
      <c r="P126" s="13">
        <f t="shared" si="5"/>
        <v>0</v>
      </c>
      <c r="Q126" s="11" t="str">
        <f t="shared" si="6"/>
        <v/>
      </c>
      <c r="R126" s="11" t="str">
        <f t="shared" si="7"/>
        <v/>
      </c>
    </row>
    <row r="127" spans="1:18" x14ac:dyDescent="0.25">
      <c r="A127" s="10"/>
      <c r="F127" s="11">
        <f>IF(E127="Pass",IFERROR(INDEX(Config!$F$4:$F$5,MATCH(C127,Config!$E$4:$E$5,0)),0),0)</f>
        <v>0</v>
      </c>
      <c r="G127" s="12"/>
      <c r="H127" s="12" t="str">
        <f>IF(C127="Forecasting",IFERROR(INDEX(Config!$B$4:$B$6,MATCH(D127,Config!$A$4:$A$6,0)),""),"")</f>
        <v/>
      </c>
      <c r="I12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7" s="13">
        <f t="shared" si="4"/>
        <v>0</v>
      </c>
      <c r="K127" s="12"/>
      <c r="L127" s="13">
        <f>IF(K127="",0,IF(K127&gt;=Config!$B$12,0,IF(K127&gt;Config!$F$14,INDEX(Config!$H$4:$H$5,MATCH(C127,Config!$E$4:$E$5,0))*Config!$F$11,INDEX(Config!$H$4:$H$5,MATCH(C127,Config!$E$4:$E$5,0)))))</f>
        <v>0</v>
      </c>
      <c r="M127" s="13">
        <f>IF(K127="",0,IF(K127&gt;=Config!$B$12,0,IF(K127&gt;=0.96,0,IF(K127&gt;=0.9,Config!$F$12,Config!$F$13))))</f>
        <v>0</v>
      </c>
      <c r="O127" s="11">
        <f>IF(N127="Pass",IFERROR(INDEX(Config!$I$4:$I$5,MATCH(C127,Config!$E$4:$E$5,0)),0),0)</f>
        <v>0</v>
      </c>
      <c r="P127" s="13">
        <f t="shared" si="5"/>
        <v>0</v>
      </c>
      <c r="Q127" s="11" t="str">
        <f t="shared" si="6"/>
        <v/>
      </c>
      <c r="R127" s="11" t="str">
        <f t="shared" si="7"/>
        <v/>
      </c>
    </row>
    <row r="128" spans="1:18" x14ac:dyDescent="0.25">
      <c r="A128" s="10"/>
      <c r="F128" s="11">
        <f>IF(E128="Pass",IFERROR(INDEX(Config!$F$4:$F$5,MATCH(C128,Config!$E$4:$E$5,0)),0),0)</f>
        <v>0</v>
      </c>
      <c r="G128" s="12"/>
      <c r="H128" s="12" t="str">
        <f>IF(C128="Forecasting",IFERROR(INDEX(Config!$B$4:$B$6,MATCH(D128,Config!$A$4:$A$6,0)),""),"")</f>
        <v/>
      </c>
      <c r="I12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8" s="13">
        <f t="shared" si="4"/>
        <v>0</v>
      </c>
      <c r="K128" s="12"/>
      <c r="L128" s="13">
        <f>IF(K128="",0,IF(K128&gt;=Config!$B$12,0,IF(K128&gt;Config!$F$14,INDEX(Config!$H$4:$H$5,MATCH(C128,Config!$E$4:$E$5,0))*Config!$F$11,INDEX(Config!$H$4:$H$5,MATCH(C128,Config!$E$4:$E$5,0)))))</f>
        <v>0</v>
      </c>
      <c r="M128" s="13">
        <f>IF(K128="",0,IF(K128&gt;=Config!$B$12,0,IF(K128&gt;=0.96,0,IF(K128&gt;=0.9,Config!$F$12,Config!$F$13))))</f>
        <v>0</v>
      </c>
      <c r="O128" s="11">
        <f>IF(N128="Pass",IFERROR(INDEX(Config!$I$4:$I$5,MATCH(C128,Config!$E$4:$E$5,0)),0),0)</f>
        <v>0</v>
      </c>
      <c r="P128" s="13">
        <f t="shared" si="5"/>
        <v>0</v>
      </c>
      <c r="Q128" s="11" t="str">
        <f t="shared" si="6"/>
        <v/>
      </c>
      <c r="R128" s="11" t="str">
        <f t="shared" si="7"/>
        <v/>
      </c>
    </row>
    <row r="129" spans="1:18" x14ac:dyDescent="0.25">
      <c r="A129" s="10"/>
      <c r="F129" s="11">
        <f>IF(E129="Pass",IFERROR(INDEX(Config!$F$4:$F$5,MATCH(C129,Config!$E$4:$E$5,0)),0),0)</f>
        <v>0</v>
      </c>
      <c r="G129" s="12"/>
      <c r="H129" s="12" t="str">
        <f>IF(C129="Forecasting",IFERROR(INDEX(Config!$B$4:$B$6,MATCH(D129,Config!$A$4:$A$6,0)),""),"")</f>
        <v/>
      </c>
      <c r="I12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29" s="13">
        <f t="shared" si="4"/>
        <v>0</v>
      </c>
      <c r="K129" s="12"/>
      <c r="L129" s="13">
        <f>IF(K129="",0,IF(K129&gt;=Config!$B$12,0,IF(K129&gt;Config!$F$14,INDEX(Config!$H$4:$H$5,MATCH(C129,Config!$E$4:$E$5,0))*Config!$F$11,INDEX(Config!$H$4:$H$5,MATCH(C129,Config!$E$4:$E$5,0)))))</f>
        <v>0</v>
      </c>
      <c r="M129" s="13">
        <f>IF(K129="",0,IF(K129&gt;=Config!$B$12,0,IF(K129&gt;=0.96,0,IF(K129&gt;=0.9,Config!$F$12,Config!$F$13))))</f>
        <v>0</v>
      </c>
      <c r="O129" s="11">
        <f>IF(N129="Pass",IFERROR(INDEX(Config!$I$4:$I$5,MATCH(C129,Config!$E$4:$E$5,0)),0),0)</f>
        <v>0</v>
      </c>
      <c r="P129" s="13">
        <f t="shared" si="5"/>
        <v>0</v>
      </c>
      <c r="Q129" s="11" t="str">
        <f t="shared" si="6"/>
        <v/>
      </c>
      <c r="R129" s="11" t="str">
        <f t="shared" si="7"/>
        <v/>
      </c>
    </row>
    <row r="130" spans="1:18" x14ac:dyDescent="0.25">
      <c r="A130" s="10"/>
      <c r="F130" s="11">
        <f>IF(E130="Pass",IFERROR(INDEX(Config!$F$4:$F$5,MATCH(C130,Config!$E$4:$E$5,0)),0),0)</f>
        <v>0</v>
      </c>
      <c r="G130" s="12"/>
      <c r="H130" s="12" t="str">
        <f>IF(C130="Forecasting",IFERROR(INDEX(Config!$B$4:$B$6,MATCH(D130,Config!$A$4:$A$6,0)),""),"")</f>
        <v/>
      </c>
      <c r="I13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0" s="13">
        <f t="shared" si="4"/>
        <v>0</v>
      </c>
      <c r="K130" s="12"/>
      <c r="L130" s="13">
        <f>IF(K130="",0,IF(K130&gt;=Config!$B$12,0,IF(K130&gt;Config!$F$14,INDEX(Config!$H$4:$H$5,MATCH(C130,Config!$E$4:$E$5,0))*Config!$F$11,INDEX(Config!$H$4:$H$5,MATCH(C130,Config!$E$4:$E$5,0)))))</f>
        <v>0</v>
      </c>
      <c r="M130" s="13">
        <f>IF(K130="",0,IF(K130&gt;=Config!$B$12,0,IF(K130&gt;=0.96,0,IF(K130&gt;=0.9,Config!$F$12,Config!$F$13))))</f>
        <v>0</v>
      </c>
      <c r="O130" s="11">
        <f>IF(N130="Pass",IFERROR(INDEX(Config!$I$4:$I$5,MATCH(C130,Config!$E$4:$E$5,0)),0),0)</f>
        <v>0</v>
      </c>
      <c r="P130" s="13">
        <f t="shared" si="5"/>
        <v>0</v>
      </c>
      <c r="Q130" s="11" t="str">
        <f t="shared" si="6"/>
        <v/>
      </c>
      <c r="R130" s="11" t="str">
        <f t="shared" si="7"/>
        <v/>
      </c>
    </row>
    <row r="131" spans="1:18" x14ac:dyDescent="0.25">
      <c r="A131" s="10"/>
      <c r="F131" s="11">
        <f>IF(E131="Pass",IFERROR(INDEX(Config!$F$4:$F$5,MATCH(C131,Config!$E$4:$E$5,0)),0),0)</f>
        <v>0</v>
      </c>
      <c r="G131" s="12"/>
      <c r="H131" s="12" t="str">
        <f>IF(C131="Forecasting",IFERROR(INDEX(Config!$B$4:$B$6,MATCH(D131,Config!$A$4:$A$6,0)),""),"")</f>
        <v/>
      </c>
      <c r="I13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1" s="13">
        <f t="shared" ref="J131:J194" si="8">IF(AND(C131="Forecasting",G131&lt;&gt;"",G131&gt;H131),MIN(5,(G131-H131)/(1-H131)*5),0)</f>
        <v>0</v>
      </c>
      <c r="K131" s="12"/>
      <c r="L131" s="13">
        <f>IF(K131="",0,IF(K131&gt;=Config!$B$12,0,IF(K131&gt;Config!$F$14,INDEX(Config!$H$4:$H$5,MATCH(C131,Config!$E$4:$E$5,0))*Config!$F$11,INDEX(Config!$H$4:$H$5,MATCH(C131,Config!$E$4:$E$5,0)))))</f>
        <v>0</v>
      </c>
      <c r="M131" s="13">
        <f>IF(K131="",0,IF(K131&gt;=Config!$B$12,0,IF(K131&gt;=0.96,0,IF(K131&gt;=0.9,Config!$F$12,Config!$F$13))))</f>
        <v>0</v>
      </c>
      <c r="O131" s="11">
        <f>IF(N131="Pass",IFERROR(INDEX(Config!$I$4:$I$5,MATCH(C131,Config!$E$4:$E$5,0)),0),0)</f>
        <v>0</v>
      </c>
      <c r="P131" s="13">
        <f t="shared" ref="P131:P194" si="9">F131+I131+J131+L131+M131+O131</f>
        <v>0</v>
      </c>
      <c r="Q131" s="11" t="str">
        <f t="shared" ref="Q131:Q194" si="10">IF(A131="","",MONTH(A131))</f>
        <v/>
      </c>
      <c r="R131" s="11" t="str">
        <f t="shared" ref="R131:R194" si="11">IF(A131="","",YEAR(A131))</f>
        <v/>
      </c>
    </row>
    <row r="132" spans="1:18" x14ac:dyDescent="0.25">
      <c r="A132" s="10"/>
      <c r="F132" s="11">
        <f>IF(E132="Pass",IFERROR(INDEX(Config!$F$4:$F$5,MATCH(C132,Config!$E$4:$E$5,0)),0),0)</f>
        <v>0</v>
      </c>
      <c r="G132" s="12"/>
      <c r="H132" s="12" t="str">
        <f>IF(C132="Forecasting",IFERROR(INDEX(Config!$B$4:$B$6,MATCH(D132,Config!$A$4:$A$6,0)),""),"")</f>
        <v/>
      </c>
      <c r="I13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2" s="13">
        <f t="shared" si="8"/>
        <v>0</v>
      </c>
      <c r="K132" s="12"/>
      <c r="L132" s="13">
        <f>IF(K132="",0,IF(K132&gt;=Config!$B$12,0,IF(K132&gt;Config!$F$14,INDEX(Config!$H$4:$H$5,MATCH(C132,Config!$E$4:$E$5,0))*Config!$F$11,INDEX(Config!$H$4:$H$5,MATCH(C132,Config!$E$4:$E$5,0)))))</f>
        <v>0</v>
      </c>
      <c r="M132" s="13">
        <f>IF(K132="",0,IF(K132&gt;=Config!$B$12,0,IF(K132&gt;=0.96,0,IF(K132&gt;=0.9,Config!$F$12,Config!$F$13))))</f>
        <v>0</v>
      </c>
      <c r="O132" s="11">
        <f>IF(N132="Pass",IFERROR(INDEX(Config!$I$4:$I$5,MATCH(C132,Config!$E$4:$E$5,0)),0),0)</f>
        <v>0</v>
      </c>
      <c r="P132" s="13">
        <f t="shared" si="9"/>
        <v>0</v>
      </c>
      <c r="Q132" s="11" t="str">
        <f t="shared" si="10"/>
        <v/>
      </c>
      <c r="R132" s="11" t="str">
        <f t="shared" si="11"/>
        <v/>
      </c>
    </row>
    <row r="133" spans="1:18" x14ac:dyDescent="0.25">
      <c r="A133" s="10"/>
      <c r="F133" s="11">
        <f>IF(E133="Pass",IFERROR(INDEX(Config!$F$4:$F$5,MATCH(C133,Config!$E$4:$E$5,0)),0),0)</f>
        <v>0</v>
      </c>
      <c r="G133" s="12"/>
      <c r="H133" s="12" t="str">
        <f>IF(C133="Forecasting",IFERROR(INDEX(Config!$B$4:$B$6,MATCH(D133,Config!$A$4:$A$6,0)),""),"")</f>
        <v/>
      </c>
      <c r="I13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3" s="13">
        <f t="shared" si="8"/>
        <v>0</v>
      </c>
      <c r="K133" s="12"/>
      <c r="L133" s="13">
        <f>IF(K133="",0,IF(K133&gt;=Config!$B$12,0,IF(K133&gt;Config!$F$14,INDEX(Config!$H$4:$H$5,MATCH(C133,Config!$E$4:$E$5,0))*Config!$F$11,INDEX(Config!$H$4:$H$5,MATCH(C133,Config!$E$4:$E$5,0)))))</f>
        <v>0</v>
      </c>
      <c r="M133" s="13">
        <f>IF(K133="",0,IF(K133&gt;=Config!$B$12,0,IF(K133&gt;=0.96,0,IF(K133&gt;=0.9,Config!$F$12,Config!$F$13))))</f>
        <v>0</v>
      </c>
      <c r="O133" s="11">
        <f>IF(N133="Pass",IFERROR(INDEX(Config!$I$4:$I$5,MATCH(C133,Config!$E$4:$E$5,0)),0),0)</f>
        <v>0</v>
      </c>
      <c r="P133" s="13">
        <f t="shared" si="9"/>
        <v>0</v>
      </c>
      <c r="Q133" s="11" t="str">
        <f t="shared" si="10"/>
        <v/>
      </c>
      <c r="R133" s="11" t="str">
        <f t="shared" si="11"/>
        <v/>
      </c>
    </row>
    <row r="134" spans="1:18" x14ac:dyDescent="0.25">
      <c r="A134" s="10"/>
      <c r="F134" s="11">
        <f>IF(E134="Pass",IFERROR(INDEX(Config!$F$4:$F$5,MATCH(C134,Config!$E$4:$E$5,0)),0),0)</f>
        <v>0</v>
      </c>
      <c r="G134" s="12"/>
      <c r="H134" s="12" t="str">
        <f>IF(C134="Forecasting",IFERROR(INDEX(Config!$B$4:$B$6,MATCH(D134,Config!$A$4:$A$6,0)),""),"")</f>
        <v/>
      </c>
      <c r="I13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4" s="13">
        <f t="shared" si="8"/>
        <v>0</v>
      </c>
      <c r="K134" s="12"/>
      <c r="L134" s="13">
        <f>IF(K134="",0,IF(K134&gt;=Config!$B$12,0,IF(K134&gt;Config!$F$14,INDEX(Config!$H$4:$H$5,MATCH(C134,Config!$E$4:$E$5,0))*Config!$F$11,INDEX(Config!$H$4:$H$5,MATCH(C134,Config!$E$4:$E$5,0)))))</f>
        <v>0</v>
      </c>
      <c r="M134" s="13">
        <f>IF(K134="",0,IF(K134&gt;=Config!$B$12,0,IF(K134&gt;=0.96,0,IF(K134&gt;=0.9,Config!$F$12,Config!$F$13))))</f>
        <v>0</v>
      </c>
      <c r="O134" s="11">
        <f>IF(N134="Pass",IFERROR(INDEX(Config!$I$4:$I$5,MATCH(C134,Config!$E$4:$E$5,0)),0),0)</f>
        <v>0</v>
      </c>
      <c r="P134" s="13">
        <f t="shared" si="9"/>
        <v>0</v>
      </c>
      <c r="Q134" s="11" t="str">
        <f t="shared" si="10"/>
        <v/>
      </c>
      <c r="R134" s="11" t="str">
        <f t="shared" si="11"/>
        <v/>
      </c>
    </row>
    <row r="135" spans="1:18" x14ac:dyDescent="0.25">
      <c r="A135" s="10"/>
      <c r="F135" s="11">
        <f>IF(E135="Pass",IFERROR(INDEX(Config!$F$4:$F$5,MATCH(C135,Config!$E$4:$E$5,0)),0),0)</f>
        <v>0</v>
      </c>
      <c r="G135" s="12"/>
      <c r="H135" s="12" t="str">
        <f>IF(C135="Forecasting",IFERROR(INDEX(Config!$B$4:$B$6,MATCH(D135,Config!$A$4:$A$6,0)),""),"")</f>
        <v/>
      </c>
      <c r="I13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5" s="13">
        <f t="shared" si="8"/>
        <v>0</v>
      </c>
      <c r="K135" s="12"/>
      <c r="L135" s="13">
        <f>IF(K135="",0,IF(K135&gt;=Config!$B$12,0,IF(K135&gt;Config!$F$14,INDEX(Config!$H$4:$H$5,MATCH(C135,Config!$E$4:$E$5,0))*Config!$F$11,INDEX(Config!$H$4:$H$5,MATCH(C135,Config!$E$4:$E$5,0)))))</f>
        <v>0</v>
      </c>
      <c r="M135" s="13">
        <f>IF(K135="",0,IF(K135&gt;=Config!$B$12,0,IF(K135&gt;=0.96,0,IF(K135&gt;=0.9,Config!$F$12,Config!$F$13))))</f>
        <v>0</v>
      </c>
      <c r="O135" s="11">
        <f>IF(N135="Pass",IFERROR(INDEX(Config!$I$4:$I$5,MATCH(C135,Config!$E$4:$E$5,0)),0),0)</f>
        <v>0</v>
      </c>
      <c r="P135" s="13">
        <f t="shared" si="9"/>
        <v>0</v>
      </c>
      <c r="Q135" s="11" t="str">
        <f t="shared" si="10"/>
        <v/>
      </c>
      <c r="R135" s="11" t="str">
        <f t="shared" si="11"/>
        <v/>
      </c>
    </row>
    <row r="136" spans="1:18" x14ac:dyDescent="0.25">
      <c r="A136" s="10"/>
      <c r="F136" s="11">
        <f>IF(E136="Pass",IFERROR(INDEX(Config!$F$4:$F$5,MATCH(C136,Config!$E$4:$E$5,0)),0),0)</f>
        <v>0</v>
      </c>
      <c r="G136" s="12"/>
      <c r="H136" s="12" t="str">
        <f>IF(C136="Forecasting",IFERROR(INDEX(Config!$B$4:$B$6,MATCH(D136,Config!$A$4:$A$6,0)),""),"")</f>
        <v/>
      </c>
      <c r="I13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6" s="13">
        <f t="shared" si="8"/>
        <v>0</v>
      </c>
      <c r="K136" s="12"/>
      <c r="L136" s="13">
        <f>IF(K136="",0,IF(K136&gt;=Config!$B$12,0,IF(K136&gt;Config!$F$14,INDEX(Config!$H$4:$H$5,MATCH(C136,Config!$E$4:$E$5,0))*Config!$F$11,INDEX(Config!$H$4:$H$5,MATCH(C136,Config!$E$4:$E$5,0)))))</f>
        <v>0</v>
      </c>
      <c r="M136" s="13">
        <f>IF(K136="",0,IF(K136&gt;=Config!$B$12,0,IF(K136&gt;=0.96,0,IF(K136&gt;=0.9,Config!$F$12,Config!$F$13))))</f>
        <v>0</v>
      </c>
      <c r="O136" s="11">
        <f>IF(N136="Pass",IFERROR(INDEX(Config!$I$4:$I$5,MATCH(C136,Config!$E$4:$E$5,0)),0),0)</f>
        <v>0</v>
      </c>
      <c r="P136" s="13">
        <f t="shared" si="9"/>
        <v>0</v>
      </c>
      <c r="Q136" s="11" t="str">
        <f t="shared" si="10"/>
        <v/>
      </c>
      <c r="R136" s="11" t="str">
        <f t="shared" si="11"/>
        <v/>
      </c>
    </row>
    <row r="137" spans="1:18" x14ac:dyDescent="0.25">
      <c r="A137" s="10"/>
      <c r="F137" s="11">
        <f>IF(E137="Pass",IFERROR(INDEX(Config!$F$4:$F$5,MATCH(C137,Config!$E$4:$E$5,0)),0),0)</f>
        <v>0</v>
      </c>
      <c r="G137" s="12"/>
      <c r="H137" s="12" t="str">
        <f>IF(C137="Forecasting",IFERROR(INDEX(Config!$B$4:$B$6,MATCH(D137,Config!$A$4:$A$6,0)),""),"")</f>
        <v/>
      </c>
      <c r="I13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7" s="13">
        <f t="shared" si="8"/>
        <v>0</v>
      </c>
      <c r="K137" s="12"/>
      <c r="L137" s="13">
        <f>IF(K137="",0,IF(K137&gt;=Config!$B$12,0,IF(K137&gt;Config!$F$14,INDEX(Config!$H$4:$H$5,MATCH(C137,Config!$E$4:$E$5,0))*Config!$F$11,INDEX(Config!$H$4:$H$5,MATCH(C137,Config!$E$4:$E$5,0)))))</f>
        <v>0</v>
      </c>
      <c r="M137" s="13">
        <f>IF(K137="",0,IF(K137&gt;=Config!$B$12,0,IF(K137&gt;=0.96,0,IF(K137&gt;=0.9,Config!$F$12,Config!$F$13))))</f>
        <v>0</v>
      </c>
      <c r="O137" s="11">
        <f>IF(N137="Pass",IFERROR(INDEX(Config!$I$4:$I$5,MATCH(C137,Config!$E$4:$E$5,0)),0),0)</f>
        <v>0</v>
      </c>
      <c r="P137" s="13">
        <f t="shared" si="9"/>
        <v>0</v>
      </c>
      <c r="Q137" s="11" t="str">
        <f t="shared" si="10"/>
        <v/>
      </c>
      <c r="R137" s="11" t="str">
        <f t="shared" si="11"/>
        <v/>
      </c>
    </row>
    <row r="138" spans="1:18" x14ac:dyDescent="0.25">
      <c r="A138" s="10"/>
      <c r="F138" s="11">
        <f>IF(E138="Pass",IFERROR(INDEX(Config!$F$4:$F$5,MATCH(C138,Config!$E$4:$E$5,0)),0),0)</f>
        <v>0</v>
      </c>
      <c r="G138" s="12"/>
      <c r="H138" s="12" t="str">
        <f>IF(C138="Forecasting",IFERROR(INDEX(Config!$B$4:$B$6,MATCH(D138,Config!$A$4:$A$6,0)),""),"")</f>
        <v/>
      </c>
      <c r="I13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8" s="13">
        <f t="shared" si="8"/>
        <v>0</v>
      </c>
      <c r="K138" s="12"/>
      <c r="L138" s="13">
        <f>IF(K138="",0,IF(K138&gt;=Config!$B$12,0,IF(K138&gt;Config!$F$14,INDEX(Config!$H$4:$H$5,MATCH(C138,Config!$E$4:$E$5,0))*Config!$F$11,INDEX(Config!$H$4:$H$5,MATCH(C138,Config!$E$4:$E$5,0)))))</f>
        <v>0</v>
      </c>
      <c r="M138" s="13">
        <f>IF(K138="",0,IF(K138&gt;=Config!$B$12,0,IF(K138&gt;=0.96,0,IF(K138&gt;=0.9,Config!$F$12,Config!$F$13))))</f>
        <v>0</v>
      </c>
      <c r="O138" s="11">
        <f>IF(N138="Pass",IFERROR(INDEX(Config!$I$4:$I$5,MATCH(C138,Config!$E$4:$E$5,0)),0),0)</f>
        <v>0</v>
      </c>
      <c r="P138" s="13">
        <f t="shared" si="9"/>
        <v>0</v>
      </c>
      <c r="Q138" s="11" t="str">
        <f t="shared" si="10"/>
        <v/>
      </c>
      <c r="R138" s="11" t="str">
        <f t="shared" si="11"/>
        <v/>
      </c>
    </row>
    <row r="139" spans="1:18" x14ac:dyDescent="0.25">
      <c r="A139" s="10"/>
      <c r="F139" s="11">
        <f>IF(E139="Pass",IFERROR(INDEX(Config!$F$4:$F$5,MATCH(C139,Config!$E$4:$E$5,0)),0),0)</f>
        <v>0</v>
      </c>
      <c r="G139" s="12"/>
      <c r="H139" s="12" t="str">
        <f>IF(C139="Forecasting",IFERROR(INDEX(Config!$B$4:$B$6,MATCH(D139,Config!$A$4:$A$6,0)),""),"")</f>
        <v/>
      </c>
      <c r="I13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39" s="13">
        <f t="shared" si="8"/>
        <v>0</v>
      </c>
      <c r="K139" s="12"/>
      <c r="L139" s="13">
        <f>IF(K139="",0,IF(K139&gt;=Config!$B$12,0,IF(K139&gt;Config!$F$14,INDEX(Config!$H$4:$H$5,MATCH(C139,Config!$E$4:$E$5,0))*Config!$F$11,INDEX(Config!$H$4:$H$5,MATCH(C139,Config!$E$4:$E$5,0)))))</f>
        <v>0</v>
      </c>
      <c r="M139" s="13">
        <f>IF(K139="",0,IF(K139&gt;=Config!$B$12,0,IF(K139&gt;=0.96,0,IF(K139&gt;=0.9,Config!$F$12,Config!$F$13))))</f>
        <v>0</v>
      </c>
      <c r="O139" s="11">
        <f>IF(N139="Pass",IFERROR(INDEX(Config!$I$4:$I$5,MATCH(C139,Config!$E$4:$E$5,0)),0),0)</f>
        <v>0</v>
      </c>
      <c r="P139" s="13">
        <f t="shared" si="9"/>
        <v>0</v>
      </c>
      <c r="Q139" s="11" t="str">
        <f t="shared" si="10"/>
        <v/>
      </c>
      <c r="R139" s="11" t="str">
        <f t="shared" si="11"/>
        <v/>
      </c>
    </row>
    <row r="140" spans="1:18" x14ac:dyDescent="0.25">
      <c r="A140" s="10"/>
      <c r="F140" s="11">
        <f>IF(E140="Pass",IFERROR(INDEX(Config!$F$4:$F$5,MATCH(C140,Config!$E$4:$E$5,0)),0),0)</f>
        <v>0</v>
      </c>
      <c r="G140" s="12"/>
      <c r="H140" s="12" t="str">
        <f>IF(C140="Forecasting",IFERROR(INDEX(Config!$B$4:$B$6,MATCH(D140,Config!$A$4:$A$6,0)),""),"")</f>
        <v/>
      </c>
      <c r="I14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0" s="13">
        <f t="shared" si="8"/>
        <v>0</v>
      </c>
      <c r="K140" s="12"/>
      <c r="L140" s="13">
        <f>IF(K140="",0,IF(K140&gt;=Config!$B$12,0,IF(K140&gt;Config!$F$14,INDEX(Config!$H$4:$H$5,MATCH(C140,Config!$E$4:$E$5,0))*Config!$F$11,INDEX(Config!$H$4:$H$5,MATCH(C140,Config!$E$4:$E$5,0)))))</f>
        <v>0</v>
      </c>
      <c r="M140" s="13">
        <f>IF(K140="",0,IF(K140&gt;=Config!$B$12,0,IF(K140&gt;=0.96,0,IF(K140&gt;=0.9,Config!$F$12,Config!$F$13))))</f>
        <v>0</v>
      </c>
      <c r="O140" s="11">
        <f>IF(N140="Pass",IFERROR(INDEX(Config!$I$4:$I$5,MATCH(C140,Config!$E$4:$E$5,0)),0),0)</f>
        <v>0</v>
      </c>
      <c r="P140" s="13">
        <f t="shared" si="9"/>
        <v>0</v>
      </c>
      <c r="Q140" s="11" t="str">
        <f t="shared" si="10"/>
        <v/>
      </c>
      <c r="R140" s="11" t="str">
        <f t="shared" si="11"/>
        <v/>
      </c>
    </row>
    <row r="141" spans="1:18" x14ac:dyDescent="0.25">
      <c r="A141" s="10"/>
      <c r="F141" s="11">
        <f>IF(E141="Pass",IFERROR(INDEX(Config!$F$4:$F$5,MATCH(C141,Config!$E$4:$E$5,0)),0),0)</f>
        <v>0</v>
      </c>
      <c r="G141" s="12"/>
      <c r="H141" s="12" t="str">
        <f>IF(C141="Forecasting",IFERROR(INDEX(Config!$B$4:$B$6,MATCH(D141,Config!$A$4:$A$6,0)),""),"")</f>
        <v/>
      </c>
      <c r="I14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1" s="13">
        <f t="shared" si="8"/>
        <v>0</v>
      </c>
      <c r="K141" s="12"/>
      <c r="L141" s="13">
        <f>IF(K141="",0,IF(K141&gt;=Config!$B$12,0,IF(K141&gt;Config!$F$14,INDEX(Config!$H$4:$H$5,MATCH(C141,Config!$E$4:$E$5,0))*Config!$F$11,INDEX(Config!$H$4:$H$5,MATCH(C141,Config!$E$4:$E$5,0)))))</f>
        <v>0</v>
      </c>
      <c r="M141" s="13">
        <f>IF(K141="",0,IF(K141&gt;=Config!$B$12,0,IF(K141&gt;=0.96,0,IF(K141&gt;=0.9,Config!$F$12,Config!$F$13))))</f>
        <v>0</v>
      </c>
      <c r="O141" s="11">
        <f>IF(N141="Pass",IFERROR(INDEX(Config!$I$4:$I$5,MATCH(C141,Config!$E$4:$E$5,0)),0),0)</f>
        <v>0</v>
      </c>
      <c r="P141" s="13">
        <f t="shared" si="9"/>
        <v>0</v>
      </c>
      <c r="Q141" s="11" t="str">
        <f t="shared" si="10"/>
        <v/>
      </c>
      <c r="R141" s="11" t="str">
        <f t="shared" si="11"/>
        <v/>
      </c>
    </row>
    <row r="142" spans="1:18" x14ac:dyDescent="0.25">
      <c r="A142" s="10"/>
      <c r="F142" s="11">
        <f>IF(E142="Pass",IFERROR(INDEX(Config!$F$4:$F$5,MATCH(C142,Config!$E$4:$E$5,0)),0),0)</f>
        <v>0</v>
      </c>
      <c r="G142" s="12"/>
      <c r="H142" s="12" t="str">
        <f>IF(C142="Forecasting",IFERROR(INDEX(Config!$B$4:$B$6,MATCH(D142,Config!$A$4:$A$6,0)),""),"")</f>
        <v/>
      </c>
      <c r="I14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2" s="13">
        <f t="shared" si="8"/>
        <v>0</v>
      </c>
      <c r="K142" s="12"/>
      <c r="L142" s="13">
        <f>IF(K142="",0,IF(K142&gt;=Config!$B$12,0,IF(K142&gt;Config!$F$14,INDEX(Config!$H$4:$H$5,MATCH(C142,Config!$E$4:$E$5,0))*Config!$F$11,INDEX(Config!$H$4:$H$5,MATCH(C142,Config!$E$4:$E$5,0)))))</f>
        <v>0</v>
      </c>
      <c r="M142" s="13">
        <f>IF(K142="",0,IF(K142&gt;=Config!$B$12,0,IF(K142&gt;=0.96,0,IF(K142&gt;=0.9,Config!$F$12,Config!$F$13))))</f>
        <v>0</v>
      </c>
      <c r="O142" s="11">
        <f>IF(N142="Pass",IFERROR(INDEX(Config!$I$4:$I$5,MATCH(C142,Config!$E$4:$E$5,0)),0),0)</f>
        <v>0</v>
      </c>
      <c r="P142" s="13">
        <f t="shared" si="9"/>
        <v>0</v>
      </c>
      <c r="Q142" s="11" t="str">
        <f t="shared" si="10"/>
        <v/>
      </c>
      <c r="R142" s="11" t="str">
        <f t="shared" si="11"/>
        <v/>
      </c>
    </row>
    <row r="143" spans="1:18" x14ac:dyDescent="0.25">
      <c r="A143" s="10"/>
      <c r="F143" s="11">
        <f>IF(E143="Pass",IFERROR(INDEX(Config!$F$4:$F$5,MATCH(C143,Config!$E$4:$E$5,0)),0),0)</f>
        <v>0</v>
      </c>
      <c r="G143" s="12"/>
      <c r="H143" s="12" t="str">
        <f>IF(C143="Forecasting",IFERROR(INDEX(Config!$B$4:$B$6,MATCH(D143,Config!$A$4:$A$6,0)),""),"")</f>
        <v/>
      </c>
      <c r="I14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3" s="13">
        <f t="shared" si="8"/>
        <v>0</v>
      </c>
      <c r="K143" s="12"/>
      <c r="L143" s="13">
        <f>IF(K143="",0,IF(K143&gt;=Config!$B$12,0,IF(K143&gt;Config!$F$14,INDEX(Config!$H$4:$H$5,MATCH(C143,Config!$E$4:$E$5,0))*Config!$F$11,INDEX(Config!$H$4:$H$5,MATCH(C143,Config!$E$4:$E$5,0)))))</f>
        <v>0</v>
      </c>
      <c r="M143" s="13">
        <f>IF(K143="",0,IF(K143&gt;=Config!$B$12,0,IF(K143&gt;=0.96,0,IF(K143&gt;=0.9,Config!$F$12,Config!$F$13))))</f>
        <v>0</v>
      </c>
      <c r="O143" s="11">
        <f>IF(N143="Pass",IFERROR(INDEX(Config!$I$4:$I$5,MATCH(C143,Config!$E$4:$E$5,0)),0),0)</f>
        <v>0</v>
      </c>
      <c r="P143" s="13">
        <f t="shared" si="9"/>
        <v>0</v>
      </c>
      <c r="Q143" s="11" t="str">
        <f t="shared" si="10"/>
        <v/>
      </c>
      <c r="R143" s="11" t="str">
        <f t="shared" si="11"/>
        <v/>
      </c>
    </row>
    <row r="144" spans="1:18" x14ac:dyDescent="0.25">
      <c r="A144" s="10"/>
      <c r="F144" s="11">
        <f>IF(E144="Pass",IFERROR(INDEX(Config!$F$4:$F$5,MATCH(C144,Config!$E$4:$E$5,0)),0),0)</f>
        <v>0</v>
      </c>
      <c r="G144" s="12"/>
      <c r="H144" s="12" t="str">
        <f>IF(C144="Forecasting",IFERROR(INDEX(Config!$B$4:$B$6,MATCH(D144,Config!$A$4:$A$6,0)),""),"")</f>
        <v/>
      </c>
      <c r="I14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4" s="13">
        <f t="shared" si="8"/>
        <v>0</v>
      </c>
      <c r="K144" s="12"/>
      <c r="L144" s="13">
        <f>IF(K144="",0,IF(K144&gt;=Config!$B$12,0,IF(K144&gt;Config!$F$14,INDEX(Config!$H$4:$H$5,MATCH(C144,Config!$E$4:$E$5,0))*Config!$F$11,INDEX(Config!$H$4:$H$5,MATCH(C144,Config!$E$4:$E$5,0)))))</f>
        <v>0</v>
      </c>
      <c r="M144" s="13">
        <f>IF(K144="",0,IF(K144&gt;=Config!$B$12,0,IF(K144&gt;=0.96,0,IF(K144&gt;=0.9,Config!$F$12,Config!$F$13))))</f>
        <v>0</v>
      </c>
      <c r="O144" s="11">
        <f>IF(N144="Pass",IFERROR(INDEX(Config!$I$4:$I$5,MATCH(C144,Config!$E$4:$E$5,0)),0),0)</f>
        <v>0</v>
      </c>
      <c r="P144" s="13">
        <f t="shared" si="9"/>
        <v>0</v>
      </c>
      <c r="Q144" s="11" t="str">
        <f t="shared" si="10"/>
        <v/>
      </c>
      <c r="R144" s="11" t="str">
        <f t="shared" si="11"/>
        <v/>
      </c>
    </row>
    <row r="145" spans="1:18" x14ac:dyDescent="0.25">
      <c r="A145" s="10"/>
      <c r="F145" s="11">
        <f>IF(E145="Pass",IFERROR(INDEX(Config!$F$4:$F$5,MATCH(C145,Config!$E$4:$E$5,0)),0),0)</f>
        <v>0</v>
      </c>
      <c r="G145" s="12"/>
      <c r="H145" s="12" t="str">
        <f>IF(C145="Forecasting",IFERROR(INDEX(Config!$B$4:$B$6,MATCH(D145,Config!$A$4:$A$6,0)),""),"")</f>
        <v/>
      </c>
      <c r="I14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5" s="13">
        <f t="shared" si="8"/>
        <v>0</v>
      </c>
      <c r="K145" s="12"/>
      <c r="L145" s="13">
        <f>IF(K145="",0,IF(K145&gt;=Config!$B$12,0,IF(K145&gt;Config!$F$14,INDEX(Config!$H$4:$H$5,MATCH(C145,Config!$E$4:$E$5,0))*Config!$F$11,INDEX(Config!$H$4:$H$5,MATCH(C145,Config!$E$4:$E$5,0)))))</f>
        <v>0</v>
      </c>
      <c r="M145" s="13">
        <f>IF(K145="",0,IF(K145&gt;=Config!$B$12,0,IF(K145&gt;=0.96,0,IF(K145&gt;=0.9,Config!$F$12,Config!$F$13))))</f>
        <v>0</v>
      </c>
      <c r="O145" s="11">
        <f>IF(N145="Pass",IFERROR(INDEX(Config!$I$4:$I$5,MATCH(C145,Config!$E$4:$E$5,0)),0),0)</f>
        <v>0</v>
      </c>
      <c r="P145" s="13">
        <f t="shared" si="9"/>
        <v>0</v>
      </c>
      <c r="Q145" s="11" t="str">
        <f t="shared" si="10"/>
        <v/>
      </c>
      <c r="R145" s="11" t="str">
        <f t="shared" si="11"/>
        <v/>
      </c>
    </row>
    <row r="146" spans="1:18" x14ac:dyDescent="0.25">
      <c r="A146" s="10"/>
      <c r="F146" s="11">
        <f>IF(E146="Pass",IFERROR(INDEX(Config!$F$4:$F$5,MATCH(C146,Config!$E$4:$E$5,0)),0),0)</f>
        <v>0</v>
      </c>
      <c r="G146" s="12"/>
      <c r="H146" s="12" t="str">
        <f>IF(C146="Forecasting",IFERROR(INDEX(Config!$B$4:$B$6,MATCH(D146,Config!$A$4:$A$6,0)),""),"")</f>
        <v/>
      </c>
      <c r="I14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6" s="13">
        <f t="shared" si="8"/>
        <v>0</v>
      </c>
      <c r="K146" s="12"/>
      <c r="L146" s="13">
        <f>IF(K146="",0,IF(K146&gt;=Config!$B$12,0,IF(K146&gt;Config!$F$14,INDEX(Config!$H$4:$H$5,MATCH(C146,Config!$E$4:$E$5,0))*Config!$F$11,INDEX(Config!$H$4:$H$5,MATCH(C146,Config!$E$4:$E$5,0)))))</f>
        <v>0</v>
      </c>
      <c r="M146" s="13">
        <f>IF(K146="",0,IF(K146&gt;=Config!$B$12,0,IF(K146&gt;=0.96,0,IF(K146&gt;=0.9,Config!$F$12,Config!$F$13))))</f>
        <v>0</v>
      </c>
      <c r="O146" s="11">
        <f>IF(N146="Pass",IFERROR(INDEX(Config!$I$4:$I$5,MATCH(C146,Config!$E$4:$E$5,0)),0),0)</f>
        <v>0</v>
      </c>
      <c r="P146" s="13">
        <f t="shared" si="9"/>
        <v>0</v>
      </c>
      <c r="Q146" s="11" t="str">
        <f t="shared" si="10"/>
        <v/>
      </c>
      <c r="R146" s="11" t="str">
        <f t="shared" si="11"/>
        <v/>
      </c>
    </row>
    <row r="147" spans="1:18" x14ac:dyDescent="0.25">
      <c r="A147" s="10"/>
      <c r="F147" s="11">
        <f>IF(E147="Pass",IFERROR(INDEX(Config!$F$4:$F$5,MATCH(C147,Config!$E$4:$E$5,0)),0),0)</f>
        <v>0</v>
      </c>
      <c r="G147" s="12"/>
      <c r="H147" s="12" t="str">
        <f>IF(C147="Forecasting",IFERROR(INDEX(Config!$B$4:$B$6,MATCH(D147,Config!$A$4:$A$6,0)),""),"")</f>
        <v/>
      </c>
      <c r="I14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7" s="13">
        <f t="shared" si="8"/>
        <v>0</v>
      </c>
      <c r="K147" s="12"/>
      <c r="L147" s="13">
        <f>IF(K147="",0,IF(K147&gt;=Config!$B$12,0,IF(K147&gt;Config!$F$14,INDEX(Config!$H$4:$H$5,MATCH(C147,Config!$E$4:$E$5,0))*Config!$F$11,INDEX(Config!$H$4:$H$5,MATCH(C147,Config!$E$4:$E$5,0)))))</f>
        <v>0</v>
      </c>
      <c r="M147" s="13">
        <f>IF(K147="",0,IF(K147&gt;=Config!$B$12,0,IF(K147&gt;=0.96,0,IF(K147&gt;=0.9,Config!$F$12,Config!$F$13))))</f>
        <v>0</v>
      </c>
      <c r="O147" s="11">
        <f>IF(N147="Pass",IFERROR(INDEX(Config!$I$4:$I$5,MATCH(C147,Config!$E$4:$E$5,0)),0),0)</f>
        <v>0</v>
      </c>
      <c r="P147" s="13">
        <f t="shared" si="9"/>
        <v>0</v>
      </c>
      <c r="Q147" s="11" t="str">
        <f t="shared" si="10"/>
        <v/>
      </c>
      <c r="R147" s="11" t="str">
        <f t="shared" si="11"/>
        <v/>
      </c>
    </row>
    <row r="148" spans="1:18" x14ac:dyDescent="0.25">
      <c r="A148" s="10"/>
      <c r="F148" s="11">
        <f>IF(E148="Pass",IFERROR(INDEX(Config!$F$4:$F$5,MATCH(C148,Config!$E$4:$E$5,0)),0),0)</f>
        <v>0</v>
      </c>
      <c r="G148" s="12"/>
      <c r="H148" s="12" t="str">
        <f>IF(C148="Forecasting",IFERROR(INDEX(Config!$B$4:$B$6,MATCH(D148,Config!$A$4:$A$6,0)),""),"")</f>
        <v/>
      </c>
      <c r="I14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8" s="13">
        <f t="shared" si="8"/>
        <v>0</v>
      </c>
      <c r="K148" s="12"/>
      <c r="L148" s="13">
        <f>IF(K148="",0,IF(K148&gt;=Config!$B$12,0,IF(K148&gt;Config!$F$14,INDEX(Config!$H$4:$H$5,MATCH(C148,Config!$E$4:$E$5,0))*Config!$F$11,INDEX(Config!$H$4:$H$5,MATCH(C148,Config!$E$4:$E$5,0)))))</f>
        <v>0</v>
      </c>
      <c r="M148" s="13">
        <f>IF(K148="",0,IF(K148&gt;=Config!$B$12,0,IF(K148&gt;=0.96,0,IF(K148&gt;=0.9,Config!$F$12,Config!$F$13))))</f>
        <v>0</v>
      </c>
      <c r="O148" s="11">
        <f>IF(N148="Pass",IFERROR(INDEX(Config!$I$4:$I$5,MATCH(C148,Config!$E$4:$E$5,0)),0),0)</f>
        <v>0</v>
      </c>
      <c r="P148" s="13">
        <f t="shared" si="9"/>
        <v>0</v>
      </c>
      <c r="Q148" s="11" t="str">
        <f t="shared" si="10"/>
        <v/>
      </c>
      <c r="R148" s="11" t="str">
        <f t="shared" si="11"/>
        <v/>
      </c>
    </row>
    <row r="149" spans="1:18" x14ac:dyDescent="0.25">
      <c r="A149" s="10"/>
      <c r="F149" s="11">
        <f>IF(E149="Pass",IFERROR(INDEX(Config!$F$4:$F$5,MATCH(C149,Config!$E$4:$E$5,0)),0),0)</f>
        <v>0</v>
      </c>
      <c r="G149" s="12"/>
      <c r="H149" s="12" t="str">
        <f>IF(C149="Forecasting",IFERROR(INDEX(Config!$B$4:$B$6,MATCH(D149,Config!$A$4:$A$6,0)),""),"")</f>
        <v/>
      </c>
      <c r="I14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49" s="13">
        <f t="shared" si="8"/>
        <v>0</v>
      </c>
      <c r="K149" s="12"/>
      <c r="L149" s="13">
        <f>IF(K149="",0,IF(K149&gt;=Config!$B$12,0,IF(K149&gt;Config!$F$14,INDEX(Config!$H$4:$H$5,MATCH(C149,Config!$E$4:$E$5,0))*Config!$F$11,INDEX(Config!$H$4:$H$5,MATCH(C149,Config!$E$4:$E$5,0)))))</f>
        <v>0</v>
      </c>
      <c r="M149" s="13">
        <f>IF(K149="",0,IF(K149&gt;=Config!$B$12,0,IF(K149&gt;=0.96,0,IF(K149&gt;=0.9,Config!$F$12,Config!$F$13))))</f>
        <v>0</v>
      </c>
      <c r="O149" s="11">
        <f>IF(N149="Pass",IFERROR(INDEX(Config!$I$4:$I$5,MATCH(C149,Config!$E$4:$E$5,0)),0),0)</f>
        <v>0</v>
      </c>
      <c r="P149" s="13">
        <f t="shared" si="9"/>
        <v>0</v>
      </c>
      <c r="Q149" s="11" t="str">
        <f t="shared" si="10"/>
        <v/>
      </c>
      <c r="R149" s="11" t="str">
        <f t="shared" si="11"/>
        <v/>
      </c>
    </row>
    <row r="150" spans="1:18" x14ac:dyDescent="0.25">
      <c r="A150" s="10"/>
      <c r="F150" s="11">
        <f>IF(E150="Pass",IFERROR(INDEX(Config!$F$4:$F$5,MATCH(C150,Config!$E$4:$E$5,0)),0),0)</f>
        <v>0</v>
      </c>
      <c r="G150" s="12"/>
      <c r="H150" s="12" t="str">
        <f>IF(C150="Forecasting",IFERROR(INDEX(Config!$B$4:$B$6,MATCH(D150,Config!$A$4:$A$6,0)),""),"")</f>
        <v/>
      </c>
      <c r="I15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0" s="13">
        <f t="shared" si="8"/>
        <v>0</v>
      </c>
      <c r="K150" s="12"/>
      <c r="L150" s="13">
        <f>IF(K150="",0,IF(K150&gt;=Config!$B$12,0,IF(K150&gt;Config!$F$14,INDEX(Config!$H$4:$H$5,MATCH(C150,Config!$E$4:$E$5,0))*Config!$F$11,INDEX(Config!$H$4:$H$5,MATCH(C150,Config!$E$4:$E$5,0)))))</f>
        <v>0</v>
      </c>
      <c r="M150" s="13">
        <f>IF(K150="",0,IF(K150&gt;=Config!$B$12,0,IF(K150&gt;=0.96,0,IF(K150&gt;=0.9,Config!$F$12,Config!$F$13))))</f>
        <v>0</v>
      </c>
      <c r="O150" s="11">
        <f>IF(N150="Pass",IFERROR(INDEX(Config!$I$4:$I$5,MATCH(C150,Config!$E$4:$E$5,0)),0),0)</f>
        <v>0</v>
      </c>
      <c r="P150" s="13">
        <f t="shared" si="9"/>
        <v>0</v>
      </c>
      <c r="Q150" s="11" t="str">
        <f t="shared" si="10"/>
        <v/>
      </c>
      <c r="R150" s="11" t="str">
        <f t="shared" si="11"/>
        <v/>
      </c>
    </row>
    <row r="151" spans="1:18" x14ac:dyDescent="0.25">
      <c r="A151" s="10"/>
      <c r="F151" s="11">
        <f>IF(E151="Pass",IFERROR(INDEX(Config!$F$4:$F$5,MATCH(C151,Config!$E$4:$E$5,0)),0),0)</f>
        <v>0</v>
      </c>
      <c r="G151" s="12"/>
      <c r="H151" s="12" t="str">
        <f>IF(C151="Forecasting",IFERROR(INDEX(Config!$B$4:$B$6,MATCH(D151,Config!$A$4:$A$6,0)),""),"")</f>
        <v/>
      </c>
      <c r="I15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1" s="13">
        <f t="shared" si="8"/>
        <v>0</v>
      </c>
      <c r="K151" s="12"/>
      <c r="L151" s="13">
        <f>IF(K151="",0,IF(K151&gt;=Config!$B$12,0,IF(K151&gt;Config!$F$14,INDEX(Config!$H$4:$H$5,MATCH(C151,Config!$E$4:$E$5,0))*Config!$F$11,INDEX(Config!$H$4:$H$5,MATCH(C151,Config!$E$4:$E$5,0)))))</f>
        <v>0</v>
      </c>
      <c r="M151" s="13">
        <f>IF(K151="",0,IF(K151&gt;=Config!$B$12,0,IF(K151&gt;=0.96,0,IF(K151&gt;=0.9,Config!$F$12,Config!$F$13))))</f>
        <v>0</v>
      </c>
      <c r="O151" s="11">
        <f>IF(N151="Pass",IFERROR(INDEX(Config!$I$4:$I$5,MATCH(C151,Config!$E$4:$E$5,0)),0),0)</f>
        <v>0</v>
      </c>
      <c r="P151" s="13">
        <f t="shared" si="9"/>
        <v>0</v>
      </c>
      <c r="Q151" s="11" t="str">
        <f t="shared" si="10"/>
        <v/>
      </c>
      <c r="R151" s="11" t="str">
        <f t="shared" si="11"/>
        <v/>
      </c>
    </row>
    <row r="152" spans="1:18" x14ac:dyDescent="0.25">
      <c r="A152" s="10"/>
      <c r="F152" s="11">
        <f>IF(E152="Pass",IFERROR(INDEX(Config!$F$4:$F$5,MATCH(C152,Config!$E$4:$E$5,0)),0),0)</f>
        <v>0</v>
      </c>
      <c r="G152" s="12"/>
      <c r="H152" s="12" t="str">
        <f>IF(C152="Forecasting",IFERROR(INDEX(Config!$B$4:$B$6,MATCH(D152,Config!$A$4:$A$6,0)),""),"")</f>
        <v/>
      </c>
      <c r="I15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2" s="13">
        <f t="shared" si="8"/>
        <v>0</v>
      </c>
      <c r="K152" s="12"/>
      <c r="L152" s="13">
        <f>IF(K152="",0,IF(K152&gt;=Config!$B$12,0,IF(K152&gt;Config!$F$14,INDEX(Config!$H$4:$H$5,MATCH(C152,Config!$E$4:$E$5,0))*Config!$F$11,INDEX(Config!$H$4:$H$5,MATCH(C152,Config!$E$4:$E$5,0)))))</f>
        <v>0</v>
      </c>
      <c r="M152" s="13">
        <f>IF(K152="",0,IF(K152&gt;=Config!$B$12,0,IF(K152&gt;=0.96,0,IF(K152&gt;=0.9,Config!$F$12,Config!$F$13))))</f>
        <v>0</v>
      </c>
      <c r="O152" s="11">
        <f>IF(N152="Pass",IFERROR(INDEX(Config!$I$4:$I$5,MATCH(C152,Config!$E$4:$E$5,0)),0),0)</f>
        <v>0</v>
      </c>
      <c r="P152" s="13">
        <f t="shared" si="9"/>
        <v>0</v>
      </c>
      <c r="Q152" s="11" t="str">
        <f t="shared" si="10"/>
        <v/>
      </c>
      <c r="R152" s="11" t="str">
        <f t="shared" si="11"/>
        <v/>
      </c>
    </row>
    <row r="153" spans="1:18" x14ac:dyDescent="0.25">
      <c r="A153" s="10"/>
      <c r="F153" s="11">
        <f>IF(E153="Pass",IFERROR(INDEX(Config!$F$4:$F$5,MATCH(C153,Config!$E$4:$E$5,0)),0),0)</f>
        <v>0</v>
      </c>
      <c r="G153" s="12"/>
      <c r="H153" s="12" t="str">
        <f>IF(C153="Forecasting",IFERROR(INDEX(Config!$B$4:$B$6,MATCH(D153,Config!$A$4:$A$6,0)),""),"")</f>
        <v/>
      </c>
      <c r="I15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3" s="13">
        <f t="shared" si="8"/>
        <v>0</v>
      </c>
      <c r="K153" s="12"/>
      <c r="L153" s="13">
        <f>IF(K153="",0,IF(K153&gt;=Config!$B$12,0,IF(K153&gt;Config!$F$14,INDEX(Config!$H$4:$H$5,MATCH(C153,Config!$E$4:$E$5,0))*Config!$F$11,INDEX(Config!$H$4:$H$5,MATCH(C153,Config!$E$4:$E$5,0)))))</f>
        <v>0</v>
      </c>
      <c r="M153" s="13">
        <f>IF(K153="",0,IF(K153&gt;=Config!$B$12,0,IF(K153&gt;=0.96,0,IF(K153&gt;=0.9,Config!$F$12,Config!$F$13))))</f>
        <v>0</v>
      </c>
      <c r="O153" s="11">
        <f>IF(N153="Pass",IFERROR(INDEX(Config!$I$4:$I$5,MATCH(C153,Config!$E$4:$E$5,0)),0),0)</f>
        <v>0</v>
      </c>
      <c r="P153" s="13">
        <f t="shared" si="9"/>
        <v>0</v>
      </c>
      <c r="Q153" s="11" t="str">
        <f t="shared" si="10"/>
        <v/>
      </c>
      <c r="R153" s="11" t="str">
        <f t="shared" si="11"/>
        <v/>
      </c>
    </row>
    <row r="154" spans="1:18" x14ac:dyDescent="0.25">
      <c r="A154" s="10"/>
      <c r="F154" s="11">
        <f>IF(E154="Pass",IFERROR(INDEX(Config!$F$4:$F$5,MATCH(C154,Config!$E$4:$E$5,0)),0),0)</f>
        <v>0</v>
      </c>
      <c r="G154" s="12"/>
      <c r="H154" s="12" t="str">
        <f>IF(C154="Forecasting",IFERROR(INDEX(Config!$B$4:$B$6,MATCH(D154,Config!$A$4:$A$6,0)),""),"")</f>
        <v/>
      </c>
      <c r="I15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4" s="13">
        <f t="shared" si="8"/>
        <v>0</v>
      </c>
      <c r="K154" s="12"/>
      <c r="L154" s="13">
        <f>IF(K154="",0,IF(K154&gt;=Config!$B$12,0,IF(K154&gt;Config!$F$14,INDEX(Config!$H$4:$H$5,MATCH(C154,Config!$E$4:$E$5,0))*Config!$F$11,INDEX(Config!$H$4:$H$5,MATCH(C154,Config!$E$4:$E$5,0)))))</f>
        <v>0</v>
      </c>
      <c r="M154" s="13">
        <f>IF(K154="",0,IF(K154&gt;=Config!$B$12,0,IF(K154&gt;=0.96,0,IF(K154&gt;=0.9,Config!$F$12,Config!$F$13))))</f>
        <v>0</v>
      </c>
      <c r="O154" s="11">
        <f>IF(N154="Pass",IFERROR(INDEX(Config!$I$4:$I$5,MATCH(C154,Config!$E$4:$E$5,0)),0),0)</f>
        <v>0</v>
      </c>
      <c r="P154" s="13">
        <f t="shared" si="9"/>
        <v>0</v>
      </c>
      <c r="Q154" s="11" t="str">
        <f t="shared" si="10"/>
        <v/>
      </c>
      <c r="R154" s="11" t="str">
        <f t="shared" si="11"/>
        <v/>
      </c>
    </row>
    <row r="155" spans="1:18" x14ac:dyDescent="0.25">
      <c r="A155" s="10"/>
      <c r="F155" s="11">
        <f>IF(E155="Pass",IFERROR(INDEX(Config!$F$4:$F$5,MATCH(C155,Config!$E$4:$E$5,0)),0),0)</f>
        <v>0</v>
      </c>
      <c r="G155" s="12"/>
      <c r="H155" s="12" t="str">
        <f>IF(C155="Forecasting",IFERROR(INDEX(Config!$B$4:$B$6,MATCH(D155,Config!$A$4:$A$6,0)),""),"")</f>
        <v/>
      </c>
      <c r="I15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5" s="13">
        <f t="shared" si="8"/>
        <v>0</v>
      </c>
      <c r="K155" s="12"/>
      <c r="L155" s="13">
        <f>IF(K155="",0,IF(K155&gt;=Config!$B$12,0,IF(K155&gt;Config!$F$14,INDEX(Config!$H$4:$H$5,MATCH(C155,Config!$E$4:$E$5,0))*Config!$F$11,INDEX(Config!$H$4:$H$5,MATCH(C155,Config!$E$4:$E$5,0)))))</f>
        <v>0</v>
      </c>
      <c r="M155" s="13">
        <f>IF(K155="",0,IF(K155&gt;=Config!$B$12,0,IF(K155&gt;=0.96,0,IF(K155&gt;=0.9,Config!$F$12,Config!$F$13))))</f>
        <v>0</v>
      </c>
      <c r="O155" s="11">
        <f>IF(N155="Pass",IFERROR(INDEX(Config!$I$4:$I$5,MATCH(C155,Config!$E$4:$E$5,0)),0),0)</f>
        <v>0</v>
      </c>
      <c r="P155" s="13">
        <f t="shared" si="9"/>
        <v>0</v>
      </c>
      <c r="Q155" s="11" t="str">
        <f t="shared" si="10"/>
        <v/>
      </c>
      <c r="R155" s="11" t="str">
        <f t="shared" si="11"/>
        <v/>
      </c>
    </row>
    <row r="156" spans="1:18" x14ac:dyDescent="0.25">
      <c r="A156" s="10"/>
      <c r="F156" s="11">
        <f>IF(E156="Pass",IFERROR(INDEX(Config!$F$4:$F$5,MATCH(C156,Config!$E$4:$E$5,0)),0),0)</f>
        <v>0</v>
      </c>
      <c r="G156" s="12"/>
      <c r="H156" s="12" t="str">
        <f>IF(C156="Forecasting",IFERROR(INDEX(Config!$B$4:$B$6,MATCH(D156,Config!$A$4:$A$6,0)),""),"")</f>
        <v/>
      </c>
      <c r="I15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6" s="13">
        <f t="shared" si="8"/>
        <v>0</v>
      </c>
      <c r="K156" s="12"/>
      <c r="L156" s="13">
        <f>IF(K156="",0,IF(K156&gt;=Config!$B$12,0,IF(K156&gt;Config!$F$14,INDEX(Config!$H$4:$H$5,MATCH(C156,Config!$E$4:$E$5,0))*Config!$F$11,INDEX(Config!$H$4:$H$5,MATCH(C156,Config!$E$4:$E$5,0)))))</f>
        <v>0</v>
      </c>
      <c r="M156" s="13">
        <f>IF(K156="",0,IF(K156&gt;=Config!$B$12,0,IF(K156&gt;=0.96,0,IF(K156&gt;=0.9,Config!$F$12,Config!$F$13))))</f>
        <v>0</v>
      </c>
      <c r="O156" s="11">
        <f>IF(N156="Pass",IFERROR(INDEX(Config!$I$4:$I$5,MATCH(C156,Config!$E$4:$E$5,0)),0),0)</f>
        <v>0</v>
      </c>
      <c r="P156" s="13">
        <f t="shared" si="9"/>
        <v>0</v>
      </c>
      <c r="Q156" s="11" t="str">
        <f t="shared" si="10"/>
        <v/>
      </c>
      <c r="R156" s="11" t="str">
        <f t="shared" si="11"/>
        <v/>
      </c>
    </row>
    <row r="157" spans="1:18" x14ac:dyDescent="0.25">
      <c r="A157" s="10"/>
      <c r="F157" s="11">
        <f>IF(E157="Pass",IFERROR(INDEX(Config!$F$4:$F$5,MATCH(C157,Config!$E$4:$E$5,0)),0),0)</f>
        <v>0</v>
      </c>
      <c r="G157" s="12"/>
      <c r="H157" s="12" t="str">
        <f>IF(C157="Forecasting",IFERROR(INDEX(Config!$B$4:$B$6,MATCH(D157,Config!$A$4:$A$6,0)),""),"")</f>
        <v/>
      </c>
      <c r="I15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7" s="13">
        <f t="shared" si="8"/>
        <v>0</v>
      </c>
      <c r="K157" s="12"/>
      <c r="L157" s="13">
        <f>IF(K157="",0,IF(K157&gt;=Config!$B$12,0,IF(K157&gt;Config!$F$14,INDEX(Config!$H$4:$H$5,MATCH(C157,Config!$E$4:$E$5,0))*Config!$F$11,INDEX(Config!$H$4:$H$5,MATCH(C157,Config!$E$4:$E$5,0)))))</f>
        <v>0</v>
      </c>
      <c r="M157" s="13">
        <f>IF(K157="",0,IF(K157&gt;=Config!$B$12,0,IF(K157&gt;=0.96,0,IF(K157&gt;=0.9,Config!$F$12,Config!$F$13))))</f>
        <v>0</v>
      </c>
      <c r="O157" s="11">
        <f>IF(N157="Pass",IFERROR(INDEX(Config!$I$4:$I$5,MATCH(C157,Config!$E$4:$E$5,0)),0),0)</f>
        <v>0</v>
      </c>
      <c r="P157" s="13">
        <f t="shared" si="9"/>
        <v>0</v>
      </c>
      <c r="Q157" s="11" t="str">
        <f t="shared" si="10"/>
        <v/>
      </c>
      <c r="R157" s="11" t="str">
        <f t="shared" si="11"/>
        <v/>
      </c>
    </row>
    <row r="158" spans="1:18" x14ac:dyDescent="0.25">
      <c r="A158" s="10"/>
      <c r="F158" s="11">
        <f>IF(E158="Pass",IFERROR(INDEX(Config!$F$4:$F$5,MATCH(C158,Config!$E$4:$E$5,0)),0),0)</f>
        <v>0</v>
      </c>
      <c r="G158" s="12"/>
      <c r="H158" s="12" t="str">
        <f>IF(C158="Forecasting",IFERROR(INDEX(Config!$B$4:$B$6,MATCH(D158,Config!$A$4:$A$6,0)),""),"")</f>
        <v/>
      </c>
      <c r="I15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8" s="13">
        <f t="shared" si="8"/>
        <v>0</v>
      </c>
      <c r="K158" s="12"/>
      <c r="L158" s="13">
        <f>IF(K158="",0,IF(K158&gt;=Config!$B$12,0,IF(K158&gt;Config!$F$14,INDEX(Config!$H$4:$H$5,MATCH(C158,Config!$E$4:$E$5,0))*Config!$F$11,INDEX(Config!$H$4:$H$5,MATCH(C158,Config!$E$4:$E$5,0)))))</f>
        <v>0</v>
      </c>
      <c r="M158" s="13">
        <f>IF(K158="",0,IF(K158&gt;=Config!$B$12,0,IF(K158&gt;=0.96,0,IF(K158&gt;=0.9,Config!$F$12,Config!$F$13))))</f>
        <v>0</v>
      </c>
      <c r="O158" s="11">
        <f>IF(N158="Pass",IFERROR(INDEX(Config!$I$4:$I$5,MATCH(C158,Config!$E$4:$E$5,0)),0),0)</f>
        <v>0</v>
      </c>
      <c r="P158" s="13">
        <f t="shared" si="9"/>
        <v>0</v>
      </c>
      <c r="Q158" s="11" t="str">
        <f t="shared" si="10"/>
        <v/>
      </c>
      <c r="R158" s="11" t="str">
        <f t="shared" si="11"/>
        <v/>
      </c>
    </row>
    <row r="159" spans="1:18" x14ac:dyDescent="0.25">
      <c r="A159" s="10"/>
      <c r="F159" s="11">
        <f>IF(E159="Pass",IFERROR(INDEX(Config!$F$4:$F$5,MATCH(C159,Config!$E$4:$E$5,0)),0),0)</f>
        <v>0</v>
      </c>
      <c r="G159" s="12"/>
      <c r="H159" s="12" t="str">
        <f>IF(C159="Forecasting",IFERROR(INDEX(Config!$B$4:$B$6,MATCH(D159,Config!$A$4:$A$6,0)),""),"")</f>
        <v/>
      </c>
      <c r="I15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59" s="13">
        <f t="shared" si="8"/>
        <v>0</v>
      </c>
      <c r="K159" s="12"/>
      <c r="L159" s="13">
        <f>IF(K159="",0,IF(K159&gt;=Config!$B$12,0,IF(K159&gt;Config!$F$14,INDEX(Config!$H$4:$H$5,MATCH(C159,Config!$E$4:$E$5,0))*Config!$F$11,INDEX(Config!$H$4:$H$5,MATCH(C159,Config!$E$4:$E$5,0)))))</f>
        <v>0</v>
      </c>
      <c r="M159" s="13">
        <f>IF(K159="",0,IF(K159&gt;=Config!$B$12,0,IF(K159&gt;=0.96,0,IF(K159&gt;=0.9,Config!$F$12,Config!$F$13))))</f>
        <v>0</v>
      </c>
      <c r="O159" s="11">
        <f>IF(N159="Pass",IFERROR(INDEX(Config!$I$4:$I$5,MATCH(C159,Config!$E$4:$E$5,0)),0),0)</f>
        <v>0</v>
      </c>
      <c r="P159" s="13">
        <f t="shared" si="9"/>
        <v>0</v>
      </c>
      <c r="Q159" s="11" t="str">
        <f t="shared" si="10"/>
        <v/>
      </c>
      <c r="R159" s="11" t="str">
        <f t="shared" si="11"/>
        <v/>
      </c>
    </row>
    <row r="160" spans="1:18" x14ac:dyDescent="0.25">
      <c r="A160" s="10"/>
      <c r="F160" s="11">
        <f>IF(E160="Pass",IFERROR(INDEX(Config!$F$4:$F$5,MATCH(C160,Config!$E$4:$E$5,0)),0),0)</f>
        <v>0</v>
      </c>
      <c r="G160" s="12"/>
      <c r="H160" s="12" t="str">
        <f>IF(C160="Forecasting",IFERROR(INDEX(Config!$B$4:$B$6,MATCH(D160,Config!$A$4:$A$6,0)),""),"")</f>
        <v/>
      </c>
      <c r="I16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0" s="13">
        <f t="shared" si="8"/>
        <v>0</v>
      </c>
      <c r="K160" s="12"/>
      <c r="L160" s="13">
        <f>IF(K160="",0,IF(K160&gt;=Config!$B$12,0,IF(K160&gt;Config!$F$14,INDEX(Config!$H$4:$H$5,MATCH(C160,Config!$E$4:$E$5,0))*Config!$F$11,INDEX(Config!$H$4:$H$5,MATCH(C160,Config!$E$4:$E$5,0)))))</f>
        <v>0</v>
      </c>
      <c r="M160" s="13">
        <f>IF(K160="",0,IF(K160&gt;=Config!$B$12,0,IF(K160&gt;=0.96,0,IF(K160&gt;=0.9,Config!$F$12,Config!$F$13))))</f>
        <v>0</v>
      </c>
      <c r="O160" s="11">
        <f>IF(N160="Pass",IFERROR(INDEX(Config!$I$4:$I$5,MATCH(C160,Config!$E$4:$E$5,0)),0),0)</f>
        <v>0</v>
      </c>
      <c r="P160" s="13">
        <f t="shared" si="9"/>
        <v>0</v>
      </c>
      <c r="Q160" s="11" t="str">
        <f t="shared" si="10"/>
        <v/>
      </c>
      <c r="R160" s="11" t="str">
        <f t="shared" si="11"/>
        <v/>
      </c>
    </row>
    <row r="161" spans="1:18" x14ac:dyDescent="0.25">
      <c r="A161" s="10"/>
      <c r="F161" s="11">
        <f>IF(E161="Pass",IFERROR(INDEX(Config!$F$4:$F$5,MATCH(C161,Config!$E$4:$E$5,0)),0),0)</f>
        <v>0</v>
      </c>
      <c r="G161" s="12"/>
      <c r="H161" s="12" t="str">
        <f>IF(C161="Forecasting",IFERROR(INDEX(Config!$B$4:$B$6,MATCH(D161,Config!$A$4:$A$6,0)),""),"")</f>
        <v/>
      </c>
      <c r="I16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1" s="13">
        <f t="shared" si="8"/>
        <v>0</v>
      </c>
      <c r="K161" s="12"/>
      <c r="L161" s="13">
        <f>IF(K161="",0,IF(K161&gt;=Config!$B$12,0,IF(K161&gt;Config!$F$14,INDEX(Config!$H$4:$H$5,MATCH(C161,Config!$E$4:$E$5,0))*Config!$F$11,INDEX(Config!$H$4:$H$5,MATCH(C161,Config!$E$4:$E$5,0)))))</f>
        <v>0</v>
      </c>
      <c r="M161" s="13">
        <f>IF(K161="",0,IF(K161&gt;=Config!$B$12,0,IF(K161&gt;=0.96,0,IF(K161&gt;=0.9,Config!$F$12,Config!$F$13))))</f>
        <v>0</v>
      </c>
      <c r="O161" s="11">
        <f>IF(N161="Pass",IFERROR(INDEX(Config!$I$4:$I$5,MATCH(C161,Config!$E$4:$E$5,0)),0),0)</f>
        <v>0</v>
      </c>
      <c r="P161" s="13">
        <f t="shared" si="9"/>
        <v>0</v>
      </c>
      <c r="Q161" s="11" t="str">
        <f t="shared" si="10"/>
        <v/>
      </c>
      <c r="R161" s="11" t="str">
        <f t="shared" si="11"/>
        <v/>
      </c>
    </row>
    <row r="162" spans="1:18" x14ac:dyDescent="0.25">
      <c r="A162" s="10"/>
      <c r="F162" s="11">
        <f>IF(E162="Pass",IFERROR(INDEX(Config!$F$4:$F$5,MATCH(C162,Config!$E$4:$E$5,0)),0),0)</f>
        <v>0</v>
      </c>
      <c r="G162" s="12"/>
      <c r="H162" s="12" t="str">
        <f>IF(C162="Forecasting",IFERROR(INDEX(Config!$B$4:$B$6,MATCH(D162,Config!$A$4:$A$6,0)),""),"")</f>
        <v/>
      </c>
      <c r="I16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2" s="13">
        <f t="shared" si="8"/>
        <v>0</v>
      </c>
      <c r="K162" s="12"/>
      <c r="L162" s="13">
        <f>IF(K162="",0,IF(K162&gt;=Config!$B$12,0,IF(K162&gt;Config!$F$14,INDEX(Config!$H$4:$H$5,MATCH(C162,Config!$E$4:$E$5,0))*Config!$F$11,INDEX(Config!$H$4:$H$5,MATCH(C162,Config!$E$4:$E$5,0)))))</f>
        <v>0</v>
      </c>
      <c r="M162" s="13">
        <f>IF(K162="",0,IF(K162&gt;=Config!$B$12,0,IF(K162&gt;=0.96,0,IF(K162&gt;=0.9,Config!$F$12,Config!$F$13))))</f>
        <v>0</v>
      </c>
      <c r="O162" s="11">
        <f>IF(N162="Pass",IFERROR(INDEX(Config!$I$4:$I$5,MATCH(C162,Config!$E$4:$E$5,0)),0),0)</f>
        <v>0</v>
      </c>
      <c r="P162" s="13">
        <f t="shared" si="9"/>
        <v>0</v>
      </c>
      <c r="Q162" s="11" t="str">
        <f t="shared" si="10"/>
        <v/>
      </c>
      <c r="R162" s="11" t="str">
        <f t="shared" si="11"/>
        <v/>
      </c>
    </row>
    <row r="163" spans="1:18" x14ac:dyDescent="0.25">
      <c r="A163" s="10"/>
      <c r="F163" s="11">
        <f>IF(E163="Pass",IFERROR(INDEX(Config!$F$4:$F$5,MATCH(C163,Config!$E$4:$E$5,0)),0),0)</f>
        <v>0</v>
      </c>
      <c r="G163" s="12"/>
      <c r="H163" s="12" t="str">
        <f>IF(C163="Forecasting",IFERROR(INDEX(Config!$B$4:$B$6,MATCH(D163,Config!$A$4:$A$6,0)),""),"")</f>
        <v/>
      </c>
      <c r="I16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3" s="13">
        <f t="shared" si="8"/>
        <v>0</v>
      </c>
      <c r="K163" s="12"/>
      <c r="L163" s="13">
        <f>IF(K163="",0,IF(K163&gt;=Config!$B$12,0,IF(K163&gt;Config!$F$14,INDEX(Config!$H$4:$H$5,MATCH(C163,Config!$E$4:$E$5,0))*Config!$F$11,INDEX(Config!$H$4:$H$5,MATCH(C163,Config!$E$4:$E$5,0)))))</f>
        <v>0</v>
      </c>
      <c r="M163" s="13">
        <f>IF(K163="",0,IF(K163&gt;=Config!$B$12,0,IF(K163&gt;=0.96,0,IF(K163&gt;=0.9,Config!$F$12,Config!$F$13))))</f>
        <v>0</v>
      </c>
      <c r="O163" s="11">
        <f>IF(N163="Pass",IFERROR(INDEX(Config!$I$4:$I$5,MATCH(C163,Config!$E$4:$E$5,0)),0),0)</f>
        <v>0</v>
      </c>
      <c r="P163" s="13">
        <f t="shared" si="9"/>
        <v>0</v>
      </c>
      <c r="Q163" s="11" t="str">
        <f t="shared" si="10"/>
        <v/>
      </c>
      <c r="R163" s="11" t="str">
        <f t="shared" si="11"/>
        <v/>
      </c>
    </row>
    <row r="164" spans="1:18" x14ac:dyDescent="0.25">
      <c r="A164" s="10"/>
      <c r="F164" s="11">
        <f>IF(E164="Pass",IFERROR(INDEX(Config!$F$4:$F$5,MATCH(C164,Config!$E$4:$E$5,0)),0),0)</f>
        <v>0</v>
      </c>
      <c r="G164" s="12"/>
      <c r="H164" s="12" t="str">
        <f>IF(C164="Forecasting",IFERROR(INDEX(Config!$B$4:$B$6,MATCH(D164,Config!$A$4:$A$6,0)),""),"")</f>
        <v/>
      </c>
      <c r="I16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4" s="13">
        <f t="shared" si="8"/>
        <v>0</v>
      </c>
      <c r="K164" s="12"/>
      <c r="L164" s="13">
        <f>IF(K164="",0,IF(K164&gt;=Config!$B$12,0,IF(K164&gt;Config!$F$14,INDEX(Config!$H$4:$H$5,MATCH(C164,Config!$E$4:$E$5,0))*Config!$F$11,INDEX(Config!$H$4:$H$5,MATCH(C164,Config!$E$4:$E$5,0)))))</f>
        <v>0</v>
      </c>
      <c r="M164" s="13">
        <f>IF(K164="",0,IF(K164&gt;=Config!$B$12,0,IF(K164&gt;=0.96,0,IF(K164&gt;=0.9,Config!$F$12,Config!$F$13))))</f>
        <v>0</v>
      </c>
      <c r="O164" s="11">
        <f>IF(N164="Pass",IFERROR(INDEX(Config!$I$4:$I$5,MATCH(C164,Config!$E$4:$E$5,0)),0),0)</f>
        <v>0</v>
      </c>
      <c r="P164" s="13">
        <f t="shared" si="9"/>
        <v>0</v>
      </c>
      <c r="Q164" s="11" t="str">
        <f t="shared" si="10"/>
        <v/>
      </c>
      <c r="R164" s="11" t="str">
        <f t="shared" si="11"/>
        <v/>
      </c>
    </row>
    <row r="165" spans="1:18" x14ac:dyDescent="0.25">
      <c r="A165" s="10"/>
      <c r="F165" s="11">
        <f>IF(E165="Pass",IFERROR(INDEX(Config!$F$4:$F$5,MATCH(C165,Config!$E$4:$E$5,0)),0),0)</f>
        <v>0</v>
      </c>
      <c r="G165" s="12"/>
      <c r="H165" s="12" t="str">
        <f>IF(C165="Forecasting",IFERROR(INDEX(Config!$B$4:$B$6,MATCH(D165,Config!$A$4:$A$6,0)),""),"")</f>
        <v/>
      </c>
      <c r="I16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5" s="13">
        <f t="shared" si="8"/>
        <v>0</v>
      </c>
      <c r="K165" s="12"/>
      <c r="L165" s="13">
        <f>IF(K165="",0,IF(K165&gt;=Config!$B$12,0,IF(K165&gt;Config!$F$14,INDEX(Config!$H$4:$H$5,MATCH(C165,Config!$E$4:$E$5,0))*Config!$F$11,INDEX(Config!$H$4:$H$5,MATCH(C165,Config!$E$4:$E$5,0)))))</f>
        <v>0</v>
      </c>
      <c r="M165" s="13">
        <f>IF(K165="",0,IF(K165&gt;=Config!$B$12,0,IF(K165&gt;=0.96,0,IF(K165&gt;=0.9,Config!$F$12,Config!$F$13))))</f>
        <v>0</v>
      </c>
      <c r="O165" s="11">
        <f>IF(N165="Pass",IFERROR(INDEX(Config!$I$4:$I$5,MATCH(C165,Config!$E$4:$E$5,0)),0),0)</f>
        <v>0</v>
      </c>
      <c r="P165" s="13">
        <f t="shared" si="9"/>
        <v>0</v>
      </c>
      <c r="Q165" s="11" t="str">
        <f t="shared" si="10"/>
        <v/>
      </c>
      <c r="R165" s="11" t="str">
        <f t="shared" si="11"/>
        <v/>
      </c>
    </row>
    <row r="166" spans="1:18" x14ac:dyDescent="0.25">
      <c r="A166" s="10"/>
      <c r="F166" s="11">
        <f>IF(E166="Pass",IFERROR(INDEX(Config!$F$4:$F$5,MATCH(C166,Config!$E$4:$E$5,0)),0),0)</f>
        <v>0</v>
      </c>
      <c r="G166" s="12"/>
      <c r="H166" s="12" t="str">
        <f>IF(C166="Forecasting",IFERROR(INDEX(Config!$B$4:$B$6,MATCH(D166,Config!$A$4:$A$6,0)),""),"")</f>
        <v/>
      </c>
      <c r="I16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6" s="13">
        <f t="shared" si="8"/>
        <v>0</v>
      </c>
      <c r="K166" s="12"/>
      <c r="L166" s="13">
        <f>IF(K166="",0,IF(K166&gt;=Config!$B$12,0,IF(K166&gt;Config!$F$14,INDEX(Config!$H$4:$H$5,MATCH(C166,Config!$E$4:$E$5,0))*Config!$F$11,INDEX(Config!$H$4:$H$5,MATCH(C166,Config!$E$4:$E$5,0)))))</f>
        <v>0</v>
      </c>
      <c r="M166" s="13">
        <f>IF(K166="",0,IF(K166&gt;=Config!$B$12,0,IF(K166&gt;=0.96,0,IF(K166&gt;=0.9,Config!$F$12,Config!$F$13))))</f>
        <v>0</v>
      </c>
      <c r="O166" s="11">
        <f>IF(N166="Pass",IFERROR(INDEX(Config!$I$4:$I$5,MATCH(C166,Config!$E$4:$E$5,0)),0),0)</f>
        <v>0</v>
      </c>
      <c r="P166" s="13">
        <f t="shared" si="9"/>
        <v>0</v>
      </c>
      <c r="Q166" s="11" t="str">
        <f t="shared" si="10"/>
        <v/>
      </c>
      <c r="R166" s="11" t="str">
        <f t="shared" si="11"/>
        <v/>
      </c>
    </row>
    <row r="167" spans="1:18" x14ac:dyDescent="0.25">
      <c r="A167" s="10"/>
      <c r="F167" s="11">
        <f>IF(E167="Pass",IFERROR(INDEX(Config!$F$4:$F$5,MATCH(C167,Config!$E$4:$E$5,0)),0),0)</f>
        <v>0</v>
      </c>
      <c r="G167" s="12"/>
      <c r="H167" s="12" t="str">
        <f>IF(C167="Forecasting",IFERROR(INDEX(Config!$B$4:$B$6,MATCH(D167,Config!$A$4:$A$6,0)),""),"")</f>
        <v/>
      </c>
      <c r="I16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7" s="13">
        <f t="shared" si="8"/>
        <v>0</v>
      </c>
      <c r="K167" s="12"/>
      <c r="L167" s="13">
        <f>IF(K167="",0,IF(K167&gt;=Config!$B$12,0,IF(K167&gt;Config!$F$14,INDEX(Config!$H$4:$H$5,MATCH(C167,Config!$E$4:$E$5,0))*Config!$F$11,INDEX(Config!$H$4:$H$5,MATCH(C167,Config!$E$4:$E$5,0)))))</f>
        <v>0</v>
      </c>
      <c r="M167" s="13">
        <f>IF(K167="",0,IF(K167&gt;=Config!$B$12,0,IF(K167&gt;=0.96,0,IF(K167&gt;=0.9,Config!$F$12,Config!$F$13))))</f>
        <v>0</v>
      </c>
      <c r="O167" s="11">
        <f>IF(N167="Pass",IFERROR(INDEX(Config!$I$4:$I$5,MATCH(C167,Config!$E$4:$E$5,0)),0),0)</f>
        <v>0</v>
      </c>
      <c r="P167" s="13">
        <f t="shared" si="9"/>
        <v>0</v>
      </c>
      <c r="Q167" s="11" t="str">
        <f t="shared" si="10"/>
        <v/>
      </c>
      <c r="R167" s="11" t="str">
        <f t="shared" si="11"/>
        <v/>
      </c>
    </row>
    <row r="168" spans="1:18" x14ac:dyDescent="0.25">
      <c r="A168" s="10"/>
      <c r="F168" s="11">
        <f>IF(E168="Pass",IFERROR(INDEX(Config!$F$4:$F$5,MATCH(C168,Config!$E$4:$E$5,0)),0),0)</f>
        <v>0</v>
      </c>
      <c r="G168" s="12"/>
      <c r="H168" s="12" t="str">
        <f>IF(C168="Forecasting",IFERROR(INDEX(Config!$B$4:$B$6,MATCH(D168,Config!$A$4:$A$6,0)),""),"")</f>
        <v/>
      </c>
      <c r="I16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8" s="13">
        <f t="shared" si="8"/>
        <v>0</v>
      </c>
      <c r="K168" s="12"/>
      <c r="L168" s="13">
        <f>IF(K168="",0,IF(K168&gt;=Config!$B$12,0,IF(K168&gt;Config!$F$14,INDEX(Config!$H$4:$H$5,MATCH(C168,Config!$E$4:$E$5,0))*Config!$F$11,INDEX(Config!$H$4:$H$5,MATCH(C168,Config!$E$4:$E$5,0)))))</f>
        <v>0</v>
      </c>
      <c r="M168" s="13">
        <f>IF(K168="",0,IF(K168&gt;=Config!$B$12,0,IF(K168&gt;=0.96,0,IF(K168&gt;=0.9,Config!$F$12,Config!$F$13))))</f>
        <v>0</v>
      </c>
      <c r="O168" s="11">
        <f>IF(N168="Pass",IFERROR(INDEX(Config!$I$4:$I$5,MATCH(C168,Config!$E$4:$E$5,0)),0),0)</f>
        <v>0</v>
      </c>
      <c r="P168" s="13">
        <f t="shared" si="9"/>
        <v>0</v>
      </c>
      <c r="Q168" s="11" t="str">
        <f t="shared" si="10"/>
        <v/>
      </c>
      <c r="R168" s="11" t="str">
        <f t="shared" si="11"/>
        <v/>
      </c>
    </row>
    <row r="169" spans="1:18" x14ac:dyDescent="0.25">
      <c r="A169" s="10"/>
      <c r="F169" s="11">
        <f>IF(E169="Pass",IFERROR(INDEX(Config!$F$4:$F$5,MATCH(C169,Config!$E$4:$E$5,0)),0),0)</f>
        <v>0</v>
      </c>
      <c r="G169" s="12"/>
      <c r="H169" s="12" t="str">
        <f>IF(C169="Forecasting",IFERROR(INDEX(Config!$B$4:$B$6,MATCH(D169,Config!$A$4:$A$6,0)),""),"")</f>
        <v/>
      </c>
      <c r="I16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69" s="13">
        <f t="shared" si="8"/>
        <v>0</v>
      </c>
      <c r="K169" s="12"/>
      <c r="L169" s="13">
        <f>IF(K169="",0,IF(K169&gt;=Config!$B$12,0,IF(K169&gt;Config!$F$14,INDEX(Config!$H$4:$H$5,MATCH(C169,Config!$E$4:$E$5,0))*Config!$F$11,INDEX(Config!$H$4:$H$5,MATCH(C169,Config!$E$4:$E$5,0)))))</f>
        <v>0</v>
      </c>
      <c r="M169" s="13">
        <f>IF(K169="",0,IF(K169&gt;=Config!$B$12,0,IF(K169&gt;=0.96,0,IF(K169&gt;=0.9,Config!$F$12,Config!$F$13))))</f>
        <v>0</v>
      </c>
      <c r="O169" s="11">
        <f>IF(N169="Pass",IFERROR(INDEX(Config!$I$4:$I$5,MATCH(C169,Config!$E$4:$E$5,0)),0),0)</f>
        <v>0</v>
      </c>
      <c r="P169" s="13">
        <f t="shared" si="9"/>
        <v>0</v>
      </c>
      <c r="Q169" s="11" t="str">
        <f t="shared" si="10"/>
        <v/>
      </c>
      <c r="R169" s="11" t="str">
        <f t="shared" si="11"/>
        <v/>
      </c>
    </row>
    <row r="170" spans="1:18" x14ac:dyDescent="0.25">
      <c r="A170" s="10"/>
      <c r="F170" s="11">
        <f>IF(E170="Pass",IFERROR(INDEX(Config!$F$4:$F$5,MATCH(C170,Config!$E$4:$E$5,0)),0),0)</f>
        <v>0</v>
      </c>
      <c r="G170" s="12"/>
      <c r="H170" s="12" t="str">
        <f>IF(C170="Forecasting",IFERROR(INDEX(Config!$B$4:$B$6,MATCH(D170,Config!$A$4:$A$6,0)),""),"")</f>
        <v/>
      </c>
      <c r="I17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0" s="13">
        <f t="shared" si="8"/>
        <v>0</v>
      </c>
      <c r="K170" s="12"/>
      <c r="L170" s="13">
        <f>IF(K170="",0,IF(K170&gt;=Config!$B$12,0,IF(K170&gt;Config!$F$14,INDEX(Config!$H$4:$H$5,MATCH(C170,Config!$E$4:$E$5,0))*Config!$F$11,INDEX(Config!$H$4:$H$5,MATCH(C170,Config!$E$4:$E$5,0)))))</f>
        <v>0</v>
      </c>
      <c r="M170" s="13">
        <f>IF(K170="",0,IF(K170&gt;=Config!$B$12,0,IF(K170&gt;=0.96,0,IF(K170&gt;=0.9,Config!$F$12,Config!$F$13))))</f>
        <v>0</v>
      </c>
      <c r="O170" s="11">
        <f>IF(N170="Pass",IFERROR(INDEX(Config!$I$4:$I$5,MATCH(C170,Config!$E$4:$E$5,0)),0),0)</f>
        <v>0</v>
      </c>
      <c r="P170" s="13">
        <f t="shared" si="9"/>
        <v>0</v>
      </c>
      <c r="Q170" s="11" t="str">
        <f t="shared" si="10"/>
        <v/>
      </c>
      <c r="R170" s="11" t="str">
        <f t="shared" si="11"/>
        <v/>
      </c>
    </row>
    <row r="171" spans="1:18" x14ac:dyDescent="0.25">
      <c r="A171" s="10"/>
      <c r="F171" s="11">
        <f>IF(E171="Pass",IFERROR(INDEX(Config!$F$4:$F$5,MATCH(C171,Config!$E$4:$E$5,0)),0),0)</f>
        <v>0</v>
      </c>
      <c r="G171" s="12"/>
      <c r="H171" s="12" t="str">
        <f>IF(C171="Forecasting",IFERROR(INDEX(Config!$B$4:$B$6,MATCH(D171,Config!$A$4:$A$6,0)),""),"")</f>
        <v/>
      </c>
      <c r="I17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1" s="13">
        <f t="shared" si="8"/>
        <v>0</v>
      </c>
      <c r="K171" s="12"/>
      <c r="L171" s="13">
        <f>IF(K171="",0,IF(K171&gt;=Config!$B$12,0,IF(K171&gt;Config!$F$14,INDEX(Config!$H$4:$H$5,MATCH(C171,Config!$E$4:$E$5,0))*Config!$F$11,INDEX(Config!$H$4:$H$5,MATCH(C171,Config!$E$4:$E$5,0)))))</f>
        <v>0</v>
      </c>
      <c r="M171" s="13">
        <f>IF(K171="",0,IF(K171&gt;=Config!$B$12,0,IF(K171&gt;=0.96,0,IF(K171&gt;=0.9,Config!$F$12,Config!$F$13))))</f>
        <v>0</v>
      </c>
      <c r="O171" s="11">
        <f>IF(N171="Pass",IFERROR(INDEX(Config!$I$4:$I$5,MATCH(C171,Config!$E$4:$E$5,0)),0),0)</f>
        <v>0</v>
      </c>
      <c r="P171" s="13">
        <f t="shared" si="9"/>
        <v>0</v>
      </c>
      <c r="Q171" s="11" t="str">
        <f t="shared" si="10"/>
        <v/>
      </c>
      <c r="R171" s="11" t="str">
        <f t="shared" si="11"/>
        <v/>
      </c>
    </row>
    <row r="172" spans="1:18" x14ac:dyDescent="0.25">
      <c r="A172" s="10"/>
      <c r="F172" s="11">
        <f>IF(E172="Pass",IFERROR(INDEX(Config!$F$4:$F$5,MATCH(C172,Config!$E$4:$E$5,0)),0),0)</f>
        <v>0</v>
      </c>
      <c r="G172" s="12"/>
      <c r="H172" s="12" t="str">
        <f>IF(C172="Forecasting",IFERROR(INDEX(Config!$B$4:$B$6,MATCH(D172,Config!$A$4:$A$6,0)),""),"")</f>
        <v/>
      </c>
      <c r="I17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2" s="13">
        <f t="shared" si="8"/>
        <v>0</v>
      </c>
      <c r="K172" s="12"/>
      <c r="L172" s="13">
        <f>IF(K172="",0,IF(K172&gt;=Config!$B$12,0,IF(K172&gt;Config!$F$14,INDEX(Config!$H$4:$H$5,MATCH(C172,Config!$E$4:$E$5,0))*Config!$F$11,INDEX(Config!$H$4:$H$5,MATCH(C172,Config!$E$4:$E$5,0)))))</f>
        <v>0</v>
      </c>
      <c r="M172" s="13">
        <f>IF(K172="",0,IF(K172&gt;=Config!$B$12,0,IF(K172&gt;=0.96,0,IF(K172&gt;=0.9,Config!$F$12,Config!$F$13))))</f>
        <v>0</v>
      </c>
      <c r="O172" s="11">
        <f>IF(N172="Pass",IFERROR(INDEX(Config!$I$4:$I$5,MATCH(C172,Config!$E$4:$E$5,0)),0),0)</f>
        <v>0</v>
      </c>
      <c r="P172" s="13">
        <f t="shared" si="9"/>
        <v>0</v>
      </c>
      <c r="Q172" s="11" t="str">
        <f t="shared" si="10"/>
        <v/>
      </c>
      <c r="R172" s="11" t="str">
        <f t="shared" si="11"/>
        <v/>
      </c>
    </row>
    <row r="173" spans="1:18" x14ac:dyDescent="0.25">
      <c r="A173" s="10"/>
      <c r="F173" s="11">
        <f>IF(E173="Pass",IFERROR(INDEX(Config!$F$4:$F$5,MATCH(C173,Config!$E$4:$E$5,0)),0),0)</f>
        <v>0</v>
      </c>
      <c r="G173" s="12"/>
      <c r="H173" s="12" t="str">
        <f>IF(C173="Forecasting",IFERROR(INDEX(Config!$B$4:$B$6,MATCH(D173,Config!$A$4:$A$6,0)),""),"")</f>
        <v/>
      </c>
      <c r="I17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3" s="13">
        <f t="shared" si="8"/>
        <v>0</v>
      </c>
      <c r="K173" s="12"/>
      <c r="L173" s="13">
        <f>IF(K173="",0,IF(K173&gt;=Config!$B$12,0,IF(K173&gt;Config!$F$14,INDEX(Config!$H$4:$H$5,MATCH(C173,Config!$E$4:$E$5,0))*Config!$F$11,INDEX(Config!$H$4:$H$5,MATCH(C173,Config!$E$4:$E$5,0)))))</f>
        <v>0</v>
      </c>
      <c r="M173" s="13">
        <f>IF(K173="",0,IF(K173&gt;=Config!$B$12,0,IF(K173&gt;=0.96,0,IF(K173&gt;=0.9,Config!$F$12,Config!$F$13))))</f>
        <v>0</v>
      </c>
      <c r="O173" s="11">
        <f>IF(N173="Pass",IFERROR(INDEX(Config!$I$4:$I$5,MATCH(C173,Config!$E$4:$E$5,0)),0),0)</f>
        <v>0</v>
      </c>
      <c r="P173" s="13">
        <f t="shared" si="9"/>
        <v>0</v>
      </c>
      <c r="Q173" s="11" t="str">
        <f t="shared" si="10"/>
        <v/>
      </c>
      <c r="R173" s="11" t="str">
        <f t="shared" si="11"/>
        <v/>
      </c>
    </row>
    <row r="174" spans="1:18" x14ac:dyDescent="0.25">
      <c r="A174" s="10"/>
      <c r="F174" s="11">
        <f>IF(E174="Pass",IFERROR(INDEX(Config!$F$4:$F$5,MATCH(C174,Config!$E$4:$E$5,0)),0),0)</f>
        <v>0</v>
      </c>
      <c r="G174" s="12"/>
      <c r="H174" s="12" t="str">
        <f>IF(C174="Forecasting",IFERROR(INDEX(Config!$B$4:$B$6,MATCH(D174,Config!$A$4:$A$6,0)),""),"")</f>
        <v/>
      </c>
      <c r="I17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4" s="13">
        <f t="shared" si="8"/>
        <v>0</v>
      </c>
      <c r="K174" s="12"/>
      <c r="L174" s="13">
        <f>IF(K174="",0,IF(K174&gt;=Config!$B$12,0,IF(K174&gt;Config!$F$14,INDEX(Config!$H$4:$H$5,MATCH(C174,Config!$E$4:$E$5,0))*Config!$F$11,INDEX(Config!$H$4:$H$5,MATCH(C174,Config!$E$4:$E$5,0)))))</f>
        <v>0</v>
      </c>
      <c r="M174" s="13">
        <f>IF(K174="",0,IF(K174&gt;=Config!$B$12,0,IF(K174&gt;=0.96,0,IF(K174&gt;=0.9,Config!$F$12,Config!$F$13))))</f>
        <v>0</v>
      </c>
      <c r="O174" s="11">
        <f>IF(N174="Pass",IFERROR(INDEX(Config!$I$4:$I$5,MATCH(C174,Config!$E$4:$E$5,0)),0),0)</f>
        <v>0</v>
      </c>
      <c r="P174" s="13">
        <f t="shared" si="9"/>
        <v>0</v>
      </c>
      <c r="Q174" s="11" t="str">
        <f t="shared" si="10"/>
        <v/>
      </c>
      <c r="R174" s="11" t="str">
        <f t="shared" si="11"/>
        <v/>
      </c>
    </row>
    <row r="175" spans="1:18" x14ac:dyDescent="0.25">
      <c r="A175" s="10"/>
      <c r="F175" s="11">
        <f>IF(E175="Pass",IFERROR(INDEX(Config!$F$4:$F$5,MATCH(C175,Config!$E$4:$E$5,0)),0),0)</f>
        <v>0</v>
      </c>
      <c r="G175" s="12"/>
      <c r="H175" s="12" t="str">
        <f>IF(C175="Forecasting",IFERROR(INDEX(Config!$B$4:$B$6,MATCH(D175,Config!$A$4:$A$6,0)),""),"")</f>
        <v/>
      </c>
      <c r="I17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5" s="13">
        <f t="shared" si="8"/>
        <v>0</v>
      </c>
      <c r="K175" s="12"/>
      <c r="L175" s="13">
        <f>IF(K175="",0,IF(K175&gt;=Config!$B$12,0,IF(K175&gt;Config!$F$14,INDEX(Config!$H$4:$H$5,MATCH(C175,Config!$E$4:$E$5,0))*Config!$F$11,INDEX(Config!$H$4:$H$5,MATCH(C175,Config!$E$4:$E$5,0)))))</f>
        <v>0</v>
      </c>
      <c r="M175" s="13">
        <f>IF(K175="",0,IF(K175&gt;=Config!$B$12,0,IF(K175&gt;=0.96,0,IF(K175&gt;=0.9,Config!$F$12,Config!$F$13))))</f>
        <v>0</v>
      </c>
      <c r="O175" s="11">
        <f>IF(N175="Pass",IFERROR(INDEX(Config!$I$4:$I$5,MATCH(C175,Config!$E$4:$E$5,0)),0),0)</f>
        <v>0</v>
      </c>
      <c r="P175" s="13">
        <f t="shared" si="9"/>
        <v>0</v>
      </c>
      <c r="Q175" s="11" t="str">
        <f t="shared" si="10"/>
        <v/>
      </c>
      <c r="R175" s="11" t="str">
        <f t="shared" si="11"/>
        <v/>
      </c>
    </row>
    <row r="176" spans="1:18" x14ac:dyDescent="0.25">
      <c r="A176" s="10"/>
      <c r="F176" s="11">
        <f>IF(E176="Pass",IFERROR(INDEX(Config!$F$4:$F$5,MATCH(C176,Config!$E$4:$E$5,0)),0),0)</f>
        <v>0</v>
      </c>
      <c r="G176" s="12"/>
      <c r="H176" s="12" t="str">
        <f>IF(C176="Forecasting",IFERROR(INDEX(Config!$B$4:$B$6,MATCH(D176,Config!$A$4:$A$6,0)),""),"")</f>
        <v/>
      </c>
      <c r="I17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6" s="13">
        <f t="shared" si="8"/>
        <v>0</v>
      </c>
      <c r="K176" s="12"/>
      <c r="L176" s="13">
        <f>IF(K176="",0,IF(K176&gt;=Config!$B$12,0,IF(K176&gt;Config!$F$14,INDEX(Config!$H$4:$H$5,MATCH(C176,Config!$E$4:$E$5,0))*Config!$F$11,INDEX(Config!$H$4:$H$5,MATCH(C176,Config!$E$4:$E$5,0)))))</f>
        <v>0</v>
      </c>
      <c r="M176" s="13">
        <f>IF(K176="",0,IF(K176&gt;=Config!$B$12,0,IF(K176&gt;=0.96,0,IF(K176&gt;=0.9,Config!$F$12,Config!$F$13))))</f>
        <v>0</v>
      </c>
      <c r="O176" s="11">
        <f>IF(N176="Pass",IFERROR(INDEX(Config!$I$4:$I$5,MATCH(C176,Config!$E$4:$E$5,0)),0),0)</f>
        <v>0</v>
      </c>
      <c r="P176" s="13">
        <f t="shared" si="9"/>
        <v>0</v>
      </c>
      <c r="Q176" s="11" t="str">
        <f t="shared" si="10"/>
        <v/>
      </c>
      <c r="R176" s="11" t="str">
        <f t="shared" si="11"/>
        <v/>
      </c>
    </row>
    <row r="177" spans="1:18" x14ac:dyDescent="0.25">
      <c r="A177" s="10"/>
      <c r="F177" s="11">
        <f>IF(E177="Pass",IFERROR(INDEX(Config!$F$4:$F$5,MATCH(C177,Config!$E$4:$E$5,0)),0),0)</f>
        <v>0</v>
      </c>
      <c r="G177" s="12"/>
      <c r="H177" s="12" t="str">
        <f>IF(C177="Forecasting",IFERROR(INDEX(Config!$B$4:$B$6,MATCH(D177,Config!$A$4:$A$6,0)),""),"")</f>
        <v/>
      </c>
      <c r="I17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7" s="13">
        <f t="shared" si="8"/>
        <v>0</v>
      </c>
      <c r="K177" s="12"/>
      <c r="L177" s="13">
        <f>IF(K177="",0,IF(K177&gt;=Config!$B$12,0,IF(K177&gt;Config!$F$14,INDEX(Config!$H$4:$H$5,MATCH(C177,Config!$E$4:$E$5,0))*Config!$F$11,INDEX(Config!$H$4:$H$5,MATCH(C177,Config!$E$4:$E$5,0)))))</f>
        <v>0</v>
      </c>
      <c r="M177" s="13">
        <f>IF(K177="",0,IF(K177&gt;=Config!$B$12,0,IF(K177&gt;=0.96,0,IF(K177&gt;=0.9,Config!$F$12,Config!$F$13))))</f>
        <v>0</v>
      </c>
      <c r="O177" s="11">
        <f>IF(N177="Pass",IFERROR(INDEX(Config!$I$4:$I$5,MATCH(C177,Config!$E$4:$E$5,0)),0),0)</f>
        <v>0</v>
      </c>
      <c r="P177" s="13">
        <f t="shared" si="9"/>
        <v>0</v>
      </c>
      <c r="Q177" s="11" t="str">
        <f t="shared" si="10"/>
        <v/>
      </c>
      <c r="R177" s="11" t="str">
        <f t="shared" si="11"/>
        <v/>
      </c>
    </row>
    <row r="178" spans="1:18" x14ac:dyDescent="0.25">
      <c r="A178" s="10"/>
      <c r="F178" s="11">
        <f>IF(E178="Pass",IFERROR(INDEX(Config!$F$4:$F$5,MATCH(C178,Config!$E$4:$E$5,0)),0),0)</f>
        <v>0</v>
      </c>
      <c r="G178" s="12"/>
      <c r="H178" s="12" t="str">
        <f>IF(C178="Forecasting",IFERROR(INDEX(Config!$B$4:$B$6,MATCH(D178,Config!$A$4:$A$6,0)),""),"")</f>
        <v/>
      </c>
      <c r="I17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8" s="13">
        <f t="shared" si="8"/>
        <v>0</v>
      </c>
      <c r="K178" s="12"/>
      <c r="L178" s="13">
        <f>IF(K178="",0,IF(K178&gt;=Config!$B$12,0,IF(K178&gt;Config!$F$14,INDEX(Config!$H$4:$H$5,MATCH(C178,Config!$E$4:$E$5,0))*Config!$F$11,INDEX(Config!$H$4:$H$5,MATCH(C178,Config!$E$4:$E$5,0)))))</f>
        <v>0</v>
      </c>
      <c r="M178" s="13">
        <f>IF(K178="",0,IF(K178&gt;=Config!$B$12,0,IF(K178&gt;=0.96,0,IF(K178&gt;=0.9,Config!$F$12,Config!$F$13))))</f>
        <v>0</v>
      </c>
      <c r="O178" s="11">
        <f>IF(N178="Pass",IFERROR(INDEX(Config!$I$4:$I$5,MATCH(C178,Config!$E$4:$E$5,0)),0),0)</f>
        <v>0</v>
      </c>
      <c r="P178" s="13">
        <f t="shared" si="9"/>
        <v>0</v>
      </c>
      <c r="Q178" s="11" t="str">
        <f t="shared" si="10"/>
        <v/>
      </c>
      <c r="R178" s="11" t="str">
        <f t="shared" si="11"/>
        <v/>
      </c>
    </row>
    <row r="179" spans="1:18" x14ac:dyDescent="0.25">
      <c r="A179" s="10"/>
      <c r="F179" s="11">
        <f>IF(E179="Pass",IFERROR(INDEX(Config!$F$4:$F$5,MATCH(C179,Config!$E$4:$E$5,0)),0),0)</f>
        <v>0</v>
      </c>
      <c r="G179" s="12"/>
      <c r="H179" s="12" t="str">
        <f>IF(C179="Forecasting",IFERROR(INDEX(Config!$B$4:$B$6,MATCH(D179,Config!$A$4:$A$6,0)),""),"")</f>
        <v/>
      </c>
      <c r="I17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79" s="13">
        <f t="shared" si="8"/>
        <v>0</v>
      </c>
      <c r="K179" s="12"/>
      <c r="L179" s="13">
        <f>IF(K179="",0,IF(K179&gt;=Config!$B$12,0,IF(K179&gt;Config!$F$14,INDEX(Config!$H$4:$H$5,MATCH(C179,Config!$E$4:$E$5,0))*Config!$F$11,INDEX(Config!$H$4:$H$5,MATCH(C179,Config!$E$4:$E$5,0)))))</f>
        <v>0</v>
      </c>
      <c r="M179" s="13">
        <f>IF(K179="",0,IF(K179&gt;=Config!$B$12,0,IF(K179&gt;=0.96,0,IF(K179&gt;=0.9,Config!$F$12,Config!$F$13))))</f>
        <v>0</v>
      </c>
      <c r="O179" s="11">
        <f>IF(N179="Pass",IFERROR(INDEX(Config!$I$4:$I$5,MATCH(C179,Config!$E$4:$E$5,0)),0),0)</f>
        <v>0</v>
      </c>
      <c r="P179" s="13">
        <f t="shared" si="9"/>
        <v>0</v>
      </c>
      <c r="Q179" s="11" t="str">
        <f t="shared" si="10"/>
        <v/>
      </c>
      <c r="R179" s="11" t="str">
        <f t="shared" si="11"/>
        <v/>
      </c>
    </row>
    <row r="180" spans="1:18" x14ac:dyDescent="0.25">
      <c r="A180" s="10"/>
      <c r="F180" s="11">
        <f>IF(E180="Pass",IFERROR(INDEX(Config!$F$4:$F$5,MATCH(C180,Config!$E$4:$E$5,0)),0),0)</f>
        <v>0</v>
      </c>
      <c r="G180" s="12"/>
      <c r="H180" s="12" t="str">
        <f>IF(C180="Forecasting",IFERROR(INDEX(Config!$B$4:$B$6,MATCH(D180,Config!$A$4:$A$6,0)),""),"")</f>
        <v/>
      </c>
      <c r="I18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0" s="13">
        <f t="shared" si="8"/>
        <v>0</v>
      </c>
      <c r="K180" s="12"/>
      <c r="L180" s="13">
        <f>IF(K180="",0,IF(K180&gt;=Config!$B$12,0,IF(K180&gt;Config!$F$14,INDEX(Config!$H$4:$H$5,MATCH(C180,Config!$E$4:$E$5,0))*Config!$F$11,INDEX(Config!$H$4:$H$5,MATCH(C180,Config!$E$4:$E$5,0)))))</f>
        <v>0</v>
      </c>
      <c r="M180" s="13">
        <f>IF(K180="",0,IF(K180&gt;=Config!$B$12,0,IF(K180&gt;=0.96,0,IF(K180&gt;=0.9,Config!$F$12,Config!$F$13))))</f>
        <v>0</v>
      </c>
      <c r="O180" s="11">
        <f>IF(N180="Pass",IFERROR(INDEX(Config!$I$4:$I$5,MATCH(C180,Config!$E$4:$E$5,0)),0),0)</f>
        <v>0</v>
      </c>
      <c r="P180" s="13">
        <f t="shared" si="9"/>
        <v>0</v>
      </c>
      <c r="Q180" s="11" t="str">
        <f t="shared" si="10"/>
        <v/>
      </c>
      <c r="R180" s="11" t="str">
        <f t="shared" si="11"/>
        <v/>
      </c>
    </row>
    <row r="181" spans="1:18" x14ac:dyDescent="0.25">
      <c r="A181" s="10"/>
      <c r="F181" s="11">
        <f>IF(E181="Pass",IFERROR(INDEX(Config!$F$4:$F$5,MATCH(C181,Config!$E$4:$E$5,0)),0),0)</f>
        <v>0</v>
      </c>
      <c r="G181" s="12"/>
      <c r="H181" s="12" t="str">
        <f>IF(C181="Forecasting",IFERROR(INDEX(Config!$B$4:$B$6,MATCH(D181,Config!$A$4:$A$6,0)),""),"")</f>
        <v/>
      </c>
      <c r="I18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1" s="13">
        <f t="shared" si="8"/>
        <v>0</v>
      </c>
      <c r="K181" s="12"/>
      <c r="L181" s="13">
        <f>IF(K181="",0,IF(K181&gt;=Config!$B$12,0,IF(K181&gt;Config!$F$14,INDEX(Config!$H$4:$H$5,MATCH(C181,Config!$E$4:$E$5,0))*Config!$F$11,INDEX(Config!$H$4:$H$5,MATCH(C181,Config!$E$4:$E$5,0)))))</f>
        <v>0</v>
      </c>
      <c r="M181" s="13">
        <f>IF(K181="",0,IF(K181&gt;=Config!$B$12,0,IF(K181&gt;=0.96,0,IF(K181&gt;=0.9,Config!$F$12,Config!$F$13))))</f>
        <v>0</v>
      </c>
      <c r="O181" s="11">
        <f>IF(N181="Pass",IFERROR(INDEX(Config!$I$4:$I$5,MATCH(C181,Config!$E$4:$E$5,0)),0),0)</f>
        <v>0</v>
      </c>
      <c r="P181" s="13">
        <f t="shared" si="9"/>
        <v>0</v>
      </c>
      <c r="Q181" s="11" t="str">
        <f t="shared" si="10"/>
        <v/>
      </c>
      <c r="R181" s="11" t="str">
        <f t="shared" si="11"/>
        <v/>
      </c>
    </row>
    <row r="182" spans="1:18" x14ac:dyDescent="0.25">
      <c r="A182" s="10"/>
      <c r="F182" s="11">
        <f>IF(E182="Pass",IFERROR(INDEX(Config!$F$4:$F$5,MATCH(C182,Config!$E$4:$E$5,0)),0),0)</f>
        <v>0</v>
      </c>
      <c r="G182" s="12"/>
      <c r="H182" s="12" t="str">
        <f>IF(C182="Forecasting",IFERROR(INDEX(Config!$B$4:$B$6,MATCH(D182,Config!$A$4:$A$6,0)),""),"")</f>
        <v/>
      </c>
      <c r="I18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2" s="13">
        <f t="shared" si="8"/>
        <v>0</v>
      </c>
      <c r="K182" s="12"/>
      <c r="L182" s="13">
        <f>IF(K182="",0,IF(K182&gt;=Config!$B$12,0,IF(K182&gt;Config!$F$14,INDEX(Config!$H$4:$H$5,MATCH(C182,Config!$E$4:$E$5,0))*Config!$F$11,INDEX(Config!$H$4:$H$5,MATCH(C182,Config!$E$4:$E$5,0)))))</f>
        <v>0</v>
      </c>
      <c r="M182" s="13">
        <f>IF(K182="",0,IF(K182&gt;=Config!$B$12,0,IF(K182&gt;=0.96,0,IF(K182&gt;=0.9,Config!$F$12,Config!$F$13))))</f>
        <v>0</v>
      </c>
      <c r="O182" s="11">
        <f>IF(N182="Pass",IFERROR(INDEX(Config!$I$4:$I$5,MATCH(C182,Config!$E$4:$E$5,0)),0),0)</f>
        <v>0</v>
      </c>
      <c r="P182" s="13">
        <f t="shared" si="9"/>
        <v>0</v>
      </c>
      <c r="Q182" s="11" t="str">
        <f t="shared" si="10"/>
        <v/>
      </c>
      <c r="R182" s="11" t="str">
        <f t="shared" si="11"/>
        <v/>
      </c>
    </row>
    <row r="183" spans="1:18" x14ac:dyDescent="0.25">
      <c r="A183" s="10"/>
      <c r="F183" s="11">
        <f>IF(E183="Pass",IFERROR(INDEX(Config!$F$4:$F$5,MATCH(C183,Config!$E$4:$E$5,0)),0),0)</f>
        <v>0</v>
      </c>
      <c r="G183" s="12"/>
      <c r="H183" s="12" t="str">
        <f>IF(C183="Forecasting",IFERROR(INDEX(Config!$B$4:$B$6,MATCH(D183,Config!$A$4:$A$6,0)),""),"")</f>
        <v/>
      </c>
      <c r="I18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3" s="13">
        <f t="shared" si="8"/>
        <v>0</v>
      </c>
      <c r="K183" s="12"/>
      <c r="L183" s="13">
        <f>IF(K183="",0,IF(K183&gt;=Config!$B$12,0,IF(K183&gt;Config!$F$14,INDEX(Config!$H$4:$H$5,MATCH(C183,Config!$E$4:$E$5,0))*Config!$F$11,INDEX(Config!$H$4:$H$5,MATCH(C183,Config!$E$4:$E$5,0)))))</f>
        <v>0</v>
      </c>
      <c r="M183" s="13">
        <f>IF(K183="",0,IF(K183&gt;=Config!$B$12,0,IF(K183&gt;=0.96,0,IF(K183&gt;=0.9,Config!$F$12,Config!$F$13))))</f>
        <v>0</v>
      </c>
      <c r="O183" s="11">
        <f>IF(N183="Pass",IFERROR(INDEX(Config!$I$4:$I$5,MATCH(C183,Config!$E$4:$E$5,0)),0),0)</f>
        <v>0</v>
      </c>
      <c r="P183" s="13">
        <f t="shared" si="9"/>
        <v>0</v>
      </c>
      <c r="Q183" s="11" t="str">
        <f t="shared" si="10"/>
        <v/>
      </c>
      <c r="R183" s="11" t="str">
        <f t="shared" si="11"/>
        <v/>
      </c>
    </row>
    <row r="184" spans="1:18" x14ac:dyDescent="0.25">
      <c r="A184" s="10"/>
      <c r="F184" s="11">
        <f>IF(E184="Pass",IFERROR(INDEX(Config!$F$4:$F$5,MATCH(C184,Config!$E$4:$E$5,0)),0),0)</f>
        <v>0</v>
      </c>
      <c r="G184" s="12"/>
      <c r="H184" s="12" t="str">
        <f>IF(C184="Forecasting",IFERROR(INDEX(Config!$B$4:$B$6,MATCH(D184,Config!$A$4:$A$6,0)),""),"")</f>
        <v/>
      </c>
      <c r="I18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4" s="13">
        <f t="shared" si="8"/>
        <v>0</v>
      </c>
      <c r="K184" s="12"/>
      <c r="L184" s="13">
        <f>IF(K184="",0,IF(K184&gt;=Config!$B$12,0,IF(K184&gt;Config!$F$14,INDEX(Config!$H$4:$H$5,MATCH(C184,Config!$E$4:$E$5,0))*Config!$F$11,INDEX(Config!$H$4:$H$5,MATCH(C184,Config!$E$4:$E$5,0)))))</f>
        <v>0</v>
      </c>
      <c r="M184" s="13">
        <f>IF(K184="",0,IF(K184&gt;=Config!$B$12,0,IF(K184&gt;=0.96,0,IF(K184&gt;=0.9,Config!$F$12,Config!$F$13))))</f>
        <v>0</v>
      </c>
      <c r="O184" s="11">
        <f>IF(N184="Pass",IFERROR(INDEX(Config!$I$4:$I$5,MATCH(C184,Config!$E$4:$E$5,0)),0),0)</f>
        <v>0</v>
      </c>
      <c r="P184" s="13">
        <f t="shared" si="9"/>
        <v>0</v>
      </c>
      <c r="Q184" s="11" t="str">
        <f t="shared" si="10"/>
        <v/>
      </c>
      <c r="R184" s="11" t="str">
        <f t="shared" si="11"/>
        <v/>
      </c>
    </row>
    <row r="185" spans="1:18" x14ac:dyDescent="0.25">
      <c r="A185" s="10"/>
      <c r="F185" s="11">
        <f>IF(E185="Pass",IFERROR(INDEX(Config!$F$4:$F$5,MATCH(C185,Config!$E$4:$E$5,0)),0),0)</f>
        <v>0</v>
      </c>
      <c r="G185" s="12"/>
      <c r="H185" s="12" t="str">
        <f>IF(C185="Forecasting",IFERROR(INDEX(Config!$B$4:$B$6,MATCH(D185,Config!$A$4:$A$6,0)),""),"")</f>
        <v/>
      </c>
      <c r="I18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5" s="13">
        <f t="shared" si="8"/>
        <v>0</v>
      </c>
      <c r="K185" s="12"/>
      <c r="L185" s="13">
        <f>IF(K185="",0,IF(K185&gt;=Config!$B$12,0,IF(K185&gt;Config!$F$14,INDEX(Config!$H$4:$H$5,MATCH(C185,Config!$E$4:$E$5,0))*Config!$F$11,INDEX(Config!$H$4:$H$5,MATCH(C185,Config!$E$4:$E$5,0)))))</f>
        <v>0</v>
      </c>
      <c r="M185" s="13">
        <f>IF(K185="",0,IF(K185&gt;=Config!$B$12,0,IF(K185&gt;=0.96,0,IF(K185&gt;=0.9,Config!$F$12,Config!$F$13))))</f>
        <v>0</v>
      </c>
      <c r="O185" s="11">
        <f>IF(N185="Pass",IFERROR(INDEX(Config!$I$4:$I$5,MATCH(C185,Config!$E$4:$E$5,0)),0),0)</f>
        <v>0</v>
      </c>
      <c r="P185" s="13">
        <f t="shared" si="9"/>
        <v>0</v>
      </c>
      <c r="Q185" s="11" t="str">
        <f t="shared" si="10"/>
        <v/>
      </c>
      <c r="R185" s="11" t="str">
        <f t="shared" si="11"/>
        <v/>
      </c>
    </row>
    <row r="186" spans="1:18" x14ac:dyDescent="0.25">
      <c r="A186" s="10"/>
      <c r="F186" s="11">
        <f>IF(E186="Pass",IFERROR(INDEX(Config!$F$4:$F$5,MATCH(C186,Config!$E$4:$E$5,0)),0),0)</f>
        <v>0</v>
      </c>
      <c r="G186" s="12"/>
      <c r="H186" s="12" t="str">
        <f>IF(C186="Forecasting",IFERROR(INDEX(Config!$B$4:$B$6,MATCH(D186,Config!$A$4:$A$6,0)),""),"")</f>
        <v/>
      </c>
      <c r="I18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6" s="13">
        <f t="shared" si="8"/>
        <v>0</v>
      </c>
      <c r="K186" s="12"/>
      <c r="L186" s="13">
        <f>IF(K186="",0,IF(K186&gt;=Config!$B$12,0,IF(K186&gt;Config!$F$14,INDEX(Config!$H$4:$H$5,MATCH(C186,Config!$E$4:$E$5,0))*Config!$F$11,INDEX(Config!$H$4:$H$5,MATCH(C186,Config!$E$4:$E$5,0)))))</f>
        <v>0</v>
      </c>
      <c r="M186" s="13">
        <f>IF(K186="",0,IF(K186&gt;=Config!$B$12,0,IF(K186&gt;=0.96,0,IF(K186&gt;=0.9,Config!$F$12,Config!$F$13))))</f>
        <v>0</v>
      </c>
      <c r="O186" s="11">
        <f>IF(N186="Pass",IFERROR(INDEX(Config!$I$4:$I$5,MATCH(C186,Config!$E$4:$E$5,0)),0),0)</f>
        <v>0</v>
      </c>
      <c r="P186" s="13">
        <f t="shared" si="9"/>
        <v>0</v>
      </c>
      <c r="Q186" s="11" t="str">
        <f t="shared" si="10"/>
        <v/>
      </c>
      <c r="R186" s="11" t="str">
        <f t="shared" si="11"/>
        <v/>
      </c>
    </row>
    <row r="187" spans="1:18" x14ac:dyDescent="0.25">
      <c r="A187" s="10"/>
      <c r="F187" s="11">
        <f>IF(E187="Pass",IFERROR(INDEX(Config!$F$4:$F$5,MATCH(C187,Config!$E$4:$E$5,0)),0),0)</f>
        <v>0</v>
      </c>
      <c r="G187" s="12"/>
      <c r="H187" s="12" t="str">
        <f>IF(C187="Forecasting",IFERROR(INDEX(Config!$B$4:$B$6,MATCH(D187,Config!$A$4:$A$6,0)),""),"")</f>
        <v/>
      </c>
      <c r="I18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7" s="13">
        <f t="shared" si="8"/>
        <v>0</v>
      </c>
      <c r="K187" s="12"/>
      <c r="L187" s="13">
        <f>IF(K187="",0,IF(K187&gt;=Config!$B$12,0,IF(K187&gt;Config!$F$14,INDEX(Config!$H$4:$H$5,MATCH(C187,Config!$E$4:$E$5,0))*Config!$F$11,INDEX(Config!$H$4:$H$5,MATCH(C187,Config!$E$4:$E$5,0)))))</f>
        <v>0</v>
      </c>
      <c r="M187" s="13">
        <f>IF(K187="",0,IF(K187&gt;=Config!$B$12,0,IF(K187&gt;=0.96,0,IF(K187&gt;=0.9,Config!$F$12,Config!$F$13))))</f>
        <v>0</v>
      </c>
      <c r="O187" s="11">
        <f>IF(N187="Pass",IFERROR(INDEX(Config!$I$4:$I$5,MATCH(C187,Config!$E$4:$E$5,0)),0),0)</f>
        <v>0</v>
      </c>
      <c r="P187" s="13">
        <f t="shared" si="9"/>
        <v>0</v>
      </c>
      <c r="Q187" s="11" t="str">
        <f t="shared" si="10"/>
        <v/>
      </c>
      <c r="R187" s="11" t="str">
        <f t="shared" si="11"/>
        <v/>
      </c>
    </row>
    <row r="188" spans="1:18" x14ac:dyDescent="0.25">
      <c r="A188" s="10"/>
      <c r="F188" s="11">
        <f>IF(E188="Pass",IFERROR(INDEX(Config!$F$4:$F$5,MATCH(C188,Config!$E$4:$E$5,0)),0),0)</f>
        <v>0</v>
      </c>
      <c r="G188" s="12"/>
      <c r="H188" s="12" t="str">
        <f>IF(C188="Forecasting",IFERROR(INDEX(Config!$B$4:$B$6,MATCH(D188,Config!$A$4:$A$6,0)),""),"")</f>
        <v/>
      </c>
      <c r="I18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8" s="13">
        <f t="shared" si="8"/>
        <v>0</v>
      </c>
      <c r="K188" s="12"/>
      <c r="L188" s="13">
        <f>IF(K188="",0,IF(K188&gt;=Config!$B$12,0,IF(K188&gt;Config!$F$14,INDEX(Config!$H$4:$H$5,MATCH(C188,Config!$E$4:$E$5,0))*Config!$F$11,INDEX(Config!$H$4:$H$5,MATCH(C188,Config!$E$4:$E$5,0)))))</f>
        <v>0</v>
      </c>
      <c r="M188" s="13">
        <f>IF(K188="",0,IF(K188&gt;=Config!$B$12,0,IF(K188&gt;=0.96,0,IF(K188&gt;=0.9,Config!$F$12,Config!$F$13))))</f>
        <v>0</v>
      </c>
      <c r="O188" s="11">
        <f>IF(N188="Pass",IFERROR(INDEX(Config!$I$4:$I$5,MATCH(C188,Config!$E$4:$E$5,0)),0),0)</f>
        <v>0</v>
      </c>
      <c r="P188" s="13">
        <f t="shared" si="9"/>
        <v>0</v>
      </c>
      <c r="Q188" s="11" t="str">
        <f t="shared" si="10"/>
        <v/>
      </c>
      <c r="R188" s="11" t="str">
        <f t="shared" si="11"/>
        <v/>
      </c>
    </row>
    <row r="189" spans="1:18" x14ac:dyDescent="0.25">
      <c r="A189" s="10"/>
      <c r="F189" s="11">
        <f>IF(E189="Pass",IFERROR(INDEX(Config!$F$4:$F$5,MATCH(C189,Config!$E$4:$E$5,0)),0),0)</f>
        <v>0</v>
      </c>
      <c r="G189" s="12"/>
      <c r="H189" s="12" t="str">
        <f>IF(C189="Forecasting",IFERROR(INDEX(Config!$B$4:$B$6,MATCH(D189,Config!$A$4:$A$6,0)),""),"")</f>
        <v/>
      </c>
      <c r="I18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89" s="13">
        <f t="shared" si="8"/>
        <v>0</v>
      </c>
      <c r="K189" s="12"/>
      <c r="L189" s="13">
        <f>IF(K189="",0,IF(K189&gt;=Config!$B$12,0,IF(K189&gt;Config!$F$14,INDEX(Config!$H$4:$H$5,MATCH(C189,Config!$E$4:$E$5,0))*Config!$F$11,INDEX(Config!$H$4:$H$5,MATCH(C189,Config!$E$4:$E$5,0)))))</f>
        <v>0</v>
      </c>
      <c r="M189" s="13">
        <f>IF(K189="",0,IF(K189&gt;=Config!$B$12,0,IF(K189&gt;=0.96,0,IF(K189&gt;=0.9,Config!$F$12,Config!$F$13))))</f>
        <v>0</v>
      </c>
      <c r="O189" s="11">
        <f>IF(N189="Pass",IFERROR(INDEX(Config!$I$4:$I$5,MATCH(C189,Config!$E$4:$E$5,0)),0),0)</f>
        <v>0</v>
      </c>
      <c r="P189" s="13">
        <f t="shared" si="9"/>
        <v>0</v>
      </c>
      <c r="Q189" s="11" t="str">
        <f t="shared" si="10"/>
        <v/>
      </c>
      <c r="R189" s="11" t="str">
        <f t="shared" si="11"/>
        <v/>
      </c>
    </row>
    <row r="190" spans="1:18" x14ac:dyDescent="0.25">
      <c r="A190" s="10"/>
      <c r="F190" s="11">
        <f>IF(E190="Pass",IFERROR(INDEX(Config!$F$4:$F$5,MATCH(C190,Config!$E$4:$E$5,0)),0),0)</f>
        <v>0</v>
      </c>
      <c r="G190" s="12"/>
      <c r="H190" s="12" t="str">
        <f>IF(C190="Forecasting",IFERROR(INDEX(Config!$B$4:$B$6,MATCH(D190,Config!$A$4:$A$6,0)),""),"")</f>
        <v/>
      </c>
      <c r="I19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0" s="13">
        <f t="shared" si="8"/>
        <v>0</v>
      </c>
      <c r="K190" s="12"/>
      <c r="L190" s="13">
        <f>IF(K190="",0,IF(K190&gt;=Config!$B$12,0,IF(K190&gt;Config!$F$14,INDEX(Config!$H$4:$H$5,MATCH(C190,Config!$E$4:$E$5,0))*Config!$F$11,INDEX(Config!$H$4:$H$5,MATCH(C190,Config!$E$4:$E$5,0)))))</f>
        <v>0</v>
      </c>
      <c r="M190" s="13">
        <f>IF(K190="",0,IF(K190&gt;=Config!$B$12,0,IF(K190&gt;=0.96,0,IF(K190&gt;=0.9,Config!$F$12,Config!$F$13))))</f>
        <v>0</v>
      </c>
      <c r="O190" s="11">
        <f>IF(N190="Pass",IFERROR(INDEX(Config!$I$4:$I$5,MATCH(C190,Config!$E$4:$E$5,0)),0),0)</f>
        <v>0</v>
      </c>
      <c r="P190" s="13">
        <f t="shared" si="9"/>
        <v>0</v>
      </c>
      <c r="Q190" s="11" t="str">
        <f t="shared" si="10"/>
        <v/>
      </c>
      <c r="R190" s="11" t="str">
        <f t="shared" si="11"/>
        <v/>
      </c>
    </row>
    <row r="191" spans="1:18" x14ac:dyDescent="0.25">
      <c r="A191" s="10"/>
      <c r="F191" s="11">
        <f>IF(E191="Pass",IFERROR(INDEX(Config!$F$4:$F$5,MATCH(C191,Config!$E$4:$E$5,0)),0),0)</f>
        <v>0</v>
      </c>
      <c r="G191" s="12"/>
      <c r="H191" s="12" t="str">
        <f>IF(C191="Forecasting",IFERROR(INDEX(Config!$B$4:$B$6,MATCH(D191,Config!$A$4:$A$6,0)),""),"")</f>
        <v/>
      </c>
      <c r="I19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1" s="13">
        <f t="shared" si="8"/>
        <v>0</v>
      </c>
      <c r="K191" s="12"/>
      <c r="L191" s="13">
        <f>IF(K191="",0,IF(K191&gt;=Config!$B$12,0,IF(K191&gt;Config!$F$14,INDEX(Config!$H$4:$H$5,MATCH(C191,Config!$E$4:$E$5,0))*Config!$F$11,INDEX(Config!$H$4:$H$5,MATCH(C191,Config!$E$4:$E$5,0)))))</f>
        <v>0</v>
      </c>
      <c r="M191" s="13">
        <f>IF(K191="",0,IF(K191&gt;=Config!$B$12,0,IF(K191&gt;=0.96,0,IF(K191&gt;=0.9,Config!$F$12,Config!$F$13))))</f>
        <v>0</v>
      </c>
      <c r="O191" s="11">
        <f>IF(N191="Pass",IFERROR(INDEX(Config!$I$4:$I$5,MATCH(C191,Config!$E$4:$E$5,0)),0),0)</f>
        <v>0</v>
      </c>
      <c r="P191" s="13">
        <f t="shared" si="9"/>
        <v>0</v>
      </c>
      <c r="Q191" s="11" t="str">
        <f t="shared" si="10"/>
        <v/>
      </c>
      <c r="R191" s="11" t="str">
        <f t="shared" si="11"/>
        <v/>
      </c>
    </row>
    <row r="192" spans="1:18" x14ac:dyDescent="0.25">
      <c r="A192" s="10"/>
      <c r="F192" s="11">
        <f>IF(E192="Pass",IFERROR(INDEX(Config!$F$4:$F$5,MATCH(C192,Config!$E$4:$E$5,0)),0),0)</f>
        <v>0</v>
      </c>
      <c r="G192" s="12"/>
      <c r="H192" s="12" t="str">
        <f>IF(C192="Forecasting",IFERROR(INDEX(Config!$B$4:$B$6,MATCH(D192,Config!$A$4:$A$6,0)),""),"")</f>
        <v/>
      </c>
      <c r="I19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2" s="13">
        <f t="shared" si="8"/>
        <v>0</v>
      </c>
      <c r="K192" s="12"/>
      <c r="L192" s="13">
        <f>IF(K192="",0,IF(K192&gt;=Config!$B$12,0,IF(K192&gt;Config!$F$14,INDEX(Config!$H$4:$H$5,MATCH(C192,Config!$E$4:$E$5,0))*Config!$F$11,INDEX(Config!$H$4:$H$5,MATCH(C192,Config!$E$4:$E$5,0)))))</f>
        <v>0</v>
      </c>
      <c r="M192" s="13">
        <f>IF(K192="",0,IF(K192&gt;=Config!$B$12,0,IF(K192&gt;=0.96,0,IF(K192&gt;=0.9,Config!$F$12,Config!$F$13))))</f>
        <v>0</v>
      </c>
      <c r="O192" s="11">
        <f>IF(N192="Pass",IFERROR(INDEX(Config!$I$4:$I$5,MATCH(C192,Config!$E$4:$E$5,0)),0),0)</f>
        <v>0</v>
      </c>
      <c r="P192" s="13">
        <f t="shared" si="9"/>
        <v>0</v>
      </c>
      <c r="Q192" s="11" t="str">
        <f t="shared" si="10"/>
        <v/>
      </c>
      <c r="R192" s="11" t="str">
        <f t="shared" si="11"/>
        <v/>
      </c>
    </row>
    <row r="193" spans="1:18" x14ac:dyDescent="0.25">
      <c r="A193" s="10"/>
      <c r="F193" s="11">
        <f>IF(E193="Pass",IFERROR(INDEX(Config!$F$4:$F$5,MATCH(C193,Config!$E$4:$E$5,0)),0),0)</f>
        <v>0</v>
      </c>
      <c r="G193" s="12"/>
      <c r="H193" s="12" t="str">
        <f>IF(C193="Forecasting",IFERROR(INDEX(Config!$B$4:$B$6,MATCH(D193,Config!$A$4:$A$6,0)),""),"")</f>
        <v/>
      </c>
      <c r="I19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3" s="13">
        <f t="shared" si="8"/>
        <v>0</v>
      </c>
      <c r="K193" s="12"/>
      <c r="L193" s="13">
        <f>IF(K193="",0,IF(K193&gt;=Config!$B$12,0,IF(K193&gt;Config!$F$14,INDEX(Config!$H$4:$H$5,MATCH(C193,Config!$E$4:$E$5,0))*Config!$F$11,INDEX(Config!$H$4:$H$5,MATCH(C193,Config!$E$4:$E$5,0)))))</f>
        <v>0</v>
      </c>
      <c r="M193" s="13">
        <f>IF(K193="",0,IF(K193&gt;=Config!$B$12,0,IF(K193&gt;=0.96,0,IF(K193&gt;=0.9,Config!$F$12,Config!$F$13))))</f>
        <v>0</v>
      </c>
      <c r="O193" s="11">
        <f>IF(N193="Pass",IFERROR(INDEX(Config!$I$4:$I$5,MATCH(C193,Config!$E$4:$E$5,0)),0),0)</f>
        <v>0</v>
      </c>
      <c r="P193" s="13">
        <f t="shared" si="9"/>
        <v>0</v>
      </c>
      <c r="Q193" s="11" t="str">
        <f t="shared" si="10"/>
        <v/>
      </c>
      <c r="R193" s="11" t="str">
        <f t="shared" si="11"/>
        <v/>
      </c>
    </row>
    <row r="194" spans="1:18" x14ac:dyDescent="0.25">
      <c r="A194" s="10"/>
      <c r="F194" s="11">
        <f>IF(E194="Pass",IFERROR(INDEX(Config!$F$4:$F$5,MATCH(C194,Config!$E$4:$E$5,0)),0),0)</f>
        <v>0</v>
      </c>
      <c r="G194" s="12"/>
      <c r="H194" s="12" t="str">
        <f>IF(C194="Forecasting",IFERROR(INDEX(Config!$B$4:$B$6,MATCH(D194,Config!$A$4:$A$6,0)),""),"")</f>
        <v/>
      </c>
      <c r="I19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4" s="13">
        <f t="shared" si="8"/>
        <v>0</v>
      </c>
      <c r="K194" s="12"/>
      <c r="L194" s="13">
        <f>IF(K194="",0,IF(K194&gt;=Config!$B$12,0,IF(K194&gt;Config!$F$14,INDEX(Config!$H$4:$H$5,MATCH(C194,Config!$E$4:$E$5,0))*Config!$F$11,INDEX(Config!$H$4:$H$5,MATCH(C194,Config!$E$4:$E$5,0)))))</f>
        <v>0</v>
      </c>
      <c r="M194" s="13">
        <f>IF(K194="",0,IF(K194&gt;=Config!$B$12,0,IF(K194&gt;=0.96,0,IF(K194&gt;=0.9,Config!$F$12,Config!$F$13))))</f>
        <v>0</v>
      </c>
      <c r="O194" s="11">
        <f>IF(N194="Pass",IFERROR(INDEX(Config!$I$4:$I$5,MATCH(C194,Config!$E$4:$E$5,0)),0),0)</f>
        <v>0</v>
      </c>
      <c r="P194" s="13">
        <f t="shared" si="9"/>
        <v>0</v>
      </c>
      <c r="Q194" s="11" t="str">
        <f t="shared" si="10"/>
        <v/>
      </c>
      <c r="R194" s="11" t="str">
        <f t="shared" si="11"/>
        <v/>
      </c>
    </row>
    <row r="195" spans="1:18" x14ac:dyDescent="0.25">
      <c r="A195" s="10"/>
      <c r="F195" s="11">
        <f>IF(E195="Pass",IFERROR(INDEX(Config!$F$4:$F$5,MATCH(C195,Config!$E$4:$E$5,0)),0),0)</f>
        <v>0</v>
      </c>
      <c r="G195" s="12"/>
      <c r="H195" s="12" t="str">
        <f>IF(C195="Forecasting",IFERROR(INDEX(Config!$B$4:$B$6,MATCH(D195,Config!$A$4:$A$6,0)),""),"")</f>
        <v/>
      </c>
      <c r="I19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5" s="13">
        <f t="shared" ref="J195:J258" si="12">IF(AND(C195="Forecasting",G195&lt;&gt;"",G195&gt;H195),MIN(5,(G195-H195)/(1-H195)*5),0)</f>
        <v>0</v>
      </c>
      <c r="K195" s="12"/>
      <c r="L195" s="13">
        <f>IF(K195="",0,IF(K195&gt;=Config!$B$12,0,IF(K195&gt;Config!$F$14,INDEX(Config!$H$4:$H$5,MATCH(C195,Config!$E$4:$E$5,0))*Config!$F$11,INDEX(Config!$H$4:$H$5,MATCH(C195,Config!$E$4:$E$5,0)))))</f>
        <v>0</v>
      </c>
      <c r="M195" s="13">
        <f>IF(K195="",0,IF(K195&gt;=Config!$B$12,0,IF(K195&gt;=0.96,0,IF(K195&gt;=0.9,Config!$F$12,Config!$F$13))))</f>
        <v>0</v>
      </c>
      <c r="O195" s="11">
        <f>IF(N195="Pass",IFERROR(INDEX(Config!$I$4:$I$5,MATCH(C195,Config!$E$4:$E$5,0)),0),0)</f>
        <v>0</v>
      </c>
      <c r="P195" s="13">
        <f t="shared" ref="P195:P258" si="13">F195+I195+J195+L195+M195+O195</f>
        <v>0</v>
      </c>
      <c r="Q195" s="11" t="str">
        <f t="shared" ref="Q195:Q258" si="14">IF(A195="","",MONTH(A195))</f>
        <v/>
      </c>
      <c r="R195" s="11" t="str">
        <f t="shared" ref="R195:R258" si="15">IF(A195="","",YEAR(A195))</f>
        <v/>
      </c>
    </row>
    <row r="196" spans="1:18" x14ac:dyDescent="0.25">
      <c r="A196" s="10"/>
      <c r="F196" s="11">
        <f>IF(E196="Pass",IFERROR(INDEX(Config!$F$4:$F$5,MATCH(C196,Config!$E$4:$E$5,0)),0),0)</f>
        <v>0</v>
      </c>
      <c r="G196" s="12"/>
      <c r="H196" s="12" t="str">
        <f>IF(C196="Forecasting",IFERROR(INDEX(Config!$B$4:$B$6,MATCH(D196,Config!$A$4:$A$6,0)),""),"")</f>
        <v/>
      </c>
      <c r="I19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6" s="13">
        <f t="shared" si="12"/>
        <v>0</v>
      </c>
      <c r="K196" s="12"/>
      <c r="L196" s="13">
        <f>IF(K196="",0,IF(K196&gt;=Config!$B$12,0,IF(K196&gt;Config!$F$14,INDEX(Config!$H$4:$H$5,MATCH(C196,Config!$E$4:$E$5,0))*Config!$F$11,INDEX(Config!$H$4:$H$5,MATCH(C196,Config!$E$4:$E$5,0)))))</f>
        <v>0</v>
      </c>
      <c r="M196" s="13">
        <f>IF(K196="",0,IF(K196&gt;=Config!$B$12,0,IF(K196&gt;=0.96,0,IF(K196&gt;=0.9,Config!$F$12,Config!$F$13))))</f>
        <v>0</v>
      </c>
      <c r="O196" s="11">
        <f>IF(N196="Pass",IFERROR(INDEX(Config!$I$4:$I$5,MATCH(C196,Config!$E$4:$E$5,0)),0),0)</f>
        <v>0</v>
      </c>
      <c r="P196" s="13">
        <f t="shared" si="13"/>
        <v>0</v>
      </c>
      <c r="Q196" s="11" t="str">
        <f t="shared" si="14"/>
        <v/>
      </c>
      <c r="R196" s="11" t="str">
        <f t="shared" si="15"/>
        <v/>
      </c>
    </row>
    <row r="197" spans="1:18" x14ac:dyDescent="0.25">
      <c r="A197" s="10"/>
      <c r="F197" s="11">
        <f>IF(E197="Pass",IFERROR(INDEX(Config!$F$4:$F$5,MATCH(C197,Config!$E$4:$E$5,0)),0),0)</f>
        <v>0</v>
      </c>
      <c r="G197" s="12"/>
      <c r="H197" s="12" t="str">
        <f>IF(C197="Forecasting",IFERROR(INDEX(Config!$B$4:$B$6,MATCH(D197,Config!$A$4:$A$6,0)),""),"")</f>
        <v/>
      </c>
      <c r="I19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7" s="13">
        <f t="shared" si="12"/>
        <v>0</v>
      </c>
      <c r="K197" s="12"/>
      <c r="L197" s="13">
        <f>IF(K197="",0,IF(K197&gt;=Config!$B$12,0,IF(K197&gt;Config!$F$14,INDEX(Config!$H$4:$H$5,MATCH(C197,Config!$E$4:$E$5,0))*Config!$F$11,INDEX(Config!$H$4:$H$5,MATCH(C197,Config!$E$4:$E$5,0)))))</f>
        <v>0</v>
      </c>
      <c r="M197" s="13">
        <f>IF(K197="",0,IF(K197&gt;=Config!$B$12,0,IF(K197&gt;=0.96,0,IF(K197&gt;=0.9,Config!$F$12,Config!$F$13))))</f>
        <v>0</v>
      </c>
      <c r="O197" s="11">
        <f>IF(N197="Pass",IFERROR(INDEX(Config!$I$4:$I$5,MATCH(C197,Config!$E$4:$E$5,0)),0),0)</f>
        <v>0</v>
      </c>
      <c r="P197" s="13">
        <f t="shared" si="13"/>
        <v>0</v>
      </c>
      <c r="Q197" s="11" t="str">
        <f t="shared" si="14"/>
        <v/>
      </c>
      <c r="R197" s="11" t="str">
        <f t="shared" si="15"/>
        <v/>
      </c>
    </row>
    <row r="198" spans="1:18" x14ac:dyDescent="0.25">
      <c r="A198" s="10"/>
      <c r="F198" s="11">
        <f>IF(E198="Pass",IFERROR(INDEX(Config!$F$4:$F$5,MATCH(C198,Config!$E$4:$E$5,0)),0),0)</f>
        <v>0</v>
      </c>
      <c r="G198" s="12"/>
      <c r="H198" s="12" t="str">
        <f>IF(C198="Forecasting",IFERROR(INDEX(Config!$B$4:$B$6,MATCH(D198,Config!$A$4:$A$6,0)),""),"")</f>
        <v/>
      </c>
      <c r="I19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8" s="13">
        <f t="shared" si="12"/>
        <v>0</v>
      </c>
      <c r="K198" s="12"/>
      <c r="L198" s="13">
        <f>IF(K198="",0,IF(K198&gt;=Config!$B$12,0,IF(K198&gt;Config!$F$14,INDEX(Config!$H$4:$H$5,MATCH(C198,Config!$E$4:$E$5,0))*Config!$F$11,INDEX(Config!$H$4:$H$5,MATCH(C198,Config!$E$4:$E$5,0)))))</f>
        <v>0</v>
      </c>
      <c r="M198" s="13">
        <f>IF(K198="",0,IF(K198&gt;=Config!$B$12,0,IF(K198&gt;=0.96,0,IF(K198&gt;=0.9,Config!$F$12,Config!$F$13))))</f>
        <v>0</v>
      </c>
      <c r="O198" s="11">
        <f>IF(N198="Pass",IFERROR(INDEX(Config!$I$4:$I$5,MATCH(C198,Config!$E$4:$E$5,0)),0),0)</f>
        <v>0</v>
      </c>
      <c r="P198" s="13">
        <f t="shared" si="13"/>
        <v>0</v>
      </c>
      <c r="Q198" s="11" t="str">
        <f t="shared" si="14"/>
        <v/>
      </c>
      <c r="R198" s="11" t="str">
        <f t="shared" si="15"/>
        <v/>
      </c>
    </row>
    <row r="199" spans="1:18" x14ac:dyDescent="0.25">
      <c r="A199" s="10"/>
      <c r="F199" s="11">
        <f>IF(E199="Pass",IFERROR(INDEX(Config!$F$4:$F$5,MATCH(C199,Config!$E$4:$E$5,0)),0),0)</f>
        <v>0</v>
      </c>
      <c r="G199" s="12"/>
      <c r="H199" s="12" t="str">
        <f>IF(C199="Forecasting",IFERROR(INDEX(Config!$B$4:$B$6,MATCH(D199,Config!$A$4:$A$6,0)),""),"")</f>
        <v/>
      </c>
      <c r="I19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199" s="13">
        <f t="shared" si="12"/>
        <v>0</v>
      </c>
      <c r="K199" s="12"/>
      <c r="L199" s="13">
        <f>IF(K199="",0,IF(K199&gt;=Config!$B$12,0,IF(K199&gt;Config!$F$14,INDEX(Config!$H$4:$H$5,MATCH(C199,Config!$E$4:$E$5,0))*Config!$F$11,INDEX(Config!$H$4:$H$5,MATCH(C199,Config!$E$4:$E$5,0)))))</f>
        <v>0</v>
      </c>
      <c r="M199" s="13">
        <f>IF(K199="",0,IF(K199&gt;=Config!$B$12,0,IF(K199&gt;=0.96,0,IF(K199&gt;=0.9,Config!$F$12,Config!$F$13))))</f>
        <v>0</v>
      </c>
      <c r="O199" s="11">
        <f>IF(N199="Pass",IFERROR(INDEX(Config!$I$4:$I$5,MATCH(C199,Config!$E$4:$E$5,0)),0),0)</f>
        <v>0</v>
      </c>
      <c r="P199" s="13">
        <f t="shared" si="13"/>
        <v>0</v>
      </c>
      <c r="Q199" s="11" t="str">
        <f t="shared" si="14"/>
        <v/>
      </c>
      <c r="R199" s="11" t="str">
        <f t="shared" si="15"/>
        <v/>
      </c>
    </row>
    <row r="200" spans="1:18" x14ac:dyDescent="0.25">
      <c r="A200" s="10"/>
      <c r="F200" s="11">
        <f>IF(E200="Pass",IFERROR(INDEX(Config!$F$4:$F$5,MATCH(C200,Config!$E$4:$E$5,0)),0),0)</f>
        <v>0</v>
      </c>
      <c r="G200" s="12"/>
      <c r="H200" s="12" t="str">
        <f>IF(C200="Forecasting",IFERROR(INDEX(Config!$B$4:$B$6,MATCH(D200,Config!$A$4:$A$6,0)),""),"")</f>
        <v/>
      </c>
      <c r="I20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0" s="13">
        <f t="shared" si="12"/>
        <v>0</v>
      </c>
      <c r="K200" s="12"/>
      <c r="L200" s="13">
        <f>IF(K200="",0,IF(K200&gt;=Config!$B$12,0,IF(K200&gt;Config!$F$14,INDEX(Config!$H$4:$H$5,MATCH(C200,Config!$E$4:$E$5,0))*Config!$F$11,INDEX(Config!$H$4:$H$5,MATCH(C200,Config!$E$4:$E$5,0)))))</f>
        <v>0</v>
      </c>
      <c r="M200" s="13">
        <f>IF(K200="",0,IF(K200&gt;=Config!$B$12,0,IF(K200&gt;=0.96,0,IF(K200&gt;=0.9,Config!$F$12,Config!$F$13))))</f>
        <v>0</v>
      </c>
      <c r="O200" s="11">
        <f>IF(N200="Pass",IFERROR(INDEX(Config!$I$4:$I$5,MATCH(C200,Config!$E$4:$E$5,0)),0),0)</f>
        <v>0</v>
      </c>
      <c r="P200" s="13">
        <f t="shared" si="13"/>
        <v>0</v>
      </c>
      <c r="Q200" s="11" t="str">
        <f t="shared" si="14"/>
        <v/>
      </c>
      <c r="R200" s="11" t="str">
        <f t="shared" si="15"/>
        <v/>
      </c>
    </row>
    <row r="201" spans="1:18" x14ac:dyDescent="0.25">
      <c r="A201" s="10"/>
      <c r="F201" s="11">
        <f>IF(E201="Pass",IFERROR(INDEX(Config!$F$4:$F$5,MATCH(C201,Config!$E$4:$E$5,0)),0),0)</f>
        <v>0</v>
      </c>
      <c r="G201" s="12"/>
      <c r="H201" s="12" t="str">
        <f>IF(C201="Forecasting",IFERROR(INDEX(Config!$B$4:$B$6,MATCH(D201,Config!$A$4:$A$6,0)),""),"")</f>
        <v/>
      </c>
      <c r="I20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1" s="13">
        <f t="shared" si="12"/>
        <v>0</v>
      </c>
      <c r="K201" s="12"/>
      <c r="L201" s="13">
        <f>IF(K201="",0,IF(K201&gt;=Config!$B$12,0,IF(K201&gt;Config!$F$14,INDEX(Config!$H$4:$H$5,MATCH(C201,Config!$E$4:$E$5,0))*Config!$F$11,INDEX(Config!$H$4:$H$5,MATCH(C201,Config!$E$4:$E$5,0)))))</f>
        <v>0</v>
      </c>
      <c r="M201" s="13">
        <f>IF(K201="",0,IF(K201&gt;=Config!$B$12,0,IF(K201&gt;=0.96,0,IF(K201&gt;=0.9,Config!$F$12,Config!$F$13))))</f>
        <v>0</v>
      </c>
      <c r="O201" s="11">
        <f>IF(N201="Pass",IFERROR(INDEX(Config!$I$4:$I$5,MATCH(C201,Config!$E$4:$E$5,0)),0),0)</f>
        <v>0</v>
      </c>
      <c r="P201" s="13">
        <f t="shared" si="13"/>
        <v>0</v>
      </c>
      <c r="Q201" s="11" t="str">
        <f t="shared" si="14"/>
        <v/>
      </c>
      <c r="R201" s="11" t="str">
        <f t="shared" si="15"/>
        <v/>
      </c>
    </row>
    <row r="202" spans="1:18" x14ac:dyDescent="0.25">
      <c r="A202" s="10"/>
      <c r="F202" s="11">
        <f>IF(E202="Pass",IFERROR(INDEX(Config!$F$4:$F$5,MATCH(C202,Config!$E$4:$E$5,0)),0),0)</f>
        <v>0</v>
      </c>
      <c r="G202" s="12"/>
      <c r="H202" s="12" t="str">
        <f>IF(C202="Forecasting",IFERROR(INDEX(Config!$B$4:$B$6,MATCH(D202,Config!$A$4:$A$6,0)),""),"")</f>
        <v/>
      </c>
      <c r="I20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2" s="13">
        <f t="shared" si="12"/>
        <v>0</v>
      </c>
      <c r="K202" s="12"/>
      <c r="L202" s="13">
        <f>IF(K202="",0,IF(K202&gt;=Config!$B$12,0,IF(K202&gt;Config!$F$14,INDEX(Config!$H$4:$H$5,MATCH(C202,Config!$E$4:$E$5,0))*Config!$F$11,INDEX(Config!$H$4:$H$5,MATCH(C202,Config!$E$4:$E$5,0)))))</f>
        <v>0</v>
      </c>
      <c r="M202" s="13">
        <f>IF(K202="",0,IF(K202&gt;=Config!$B$12,0,IF(K202&gt;=0.96,0,IF(K202&gt;=0.9,Config!$F$12,Config!$F$13))))</f>
        <v>0</v>
      </c>
      <c r="O202" s="11">
        <f>IF(N202="Pass",IFERROR(INDEX(Config!$I$4:$I$5,MATCH(C202,Config!$E$4:$E$5,0)),0),0)</f>
        <v>0</v>
      </c>
      <c r="P202" s="13">
        <f t="shared" si="13"/>
        <v>0</v>
      </c>
      <c r="Q202" s="11" t="str">
        <f t="shared" si="14"/>
        <v/>
      </c>
      <c r="R202" s="11" t="str">
        <f t="shared" si="15"/>
        <v/>
      </c>
    </row>
    <row r="203" spans="1:18" x14ac:dyDescent="0.25">
      <c r="A203" s="10"/>
      <c r="F203" s="11">
        <f>IF(E203="Pass",IFERROR(INDEX(Config!$F$4:$F$5,MATCH(C203,Config!$E$4:$E$5,0)),0),0)</f>
        <v>0</v>
      </c>
      <c r="G203" s="12"/>
      <c r="H203" s="12" t="str">
        <f>IF(C203="Forecasting",IFERROR(INDEX(Config!$B$4:$B$6,MATCH(D203,Config!$A$4:$A$6,0)),""),"")</f>
        <v/>
      </c>
      <c r="I20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3" s="13">
        <f t="shared" si="12"/>
        <v>0</v>
      </c>
      <c r="K203" s="12"/>
      <c r="L203" s="13">
        <f>IF(K203="",0,IF(K203&gt;=Config!$B$12,0,IF(K203&gt;Config!$F$14,INDEX(Config!$H$4:$H$5,MATCH(C203,Config!$E$4:$E$5,0))*Config!$F$11,INDEX(Config!$H$4:$H$5,MATCH(C203,Config!$E$4:$E$5,0)))))</f>
        <v>0</v>
      </c>
      <c r="M203" s="13">
        <f>IF(K203="",0,IF(K203&gt;=Config!$B$12,0,IF(K203&gt;=0.96,0,IF(K203&gt;=0.9,Config!$F$12,Config!$F$13))))</f>
        <v>0</v>
      </c>
      <c r="O203" s="11">
        <f>IF(N203="Pass",IFERROR(INDEX(Config!$I$4:$I$5,MATCH(C203,Config!$E$4:$E$5,0)),0),0)</f>
        <v>0</v>
      </c>
      <c r="P203" s="13">
        <f t="shared" si="13"/>
        <v>0</v>
      </c>
      <c r="Q203" s="11" t="str">
        <f t="shared" si="14"/>
        <v/>
      </c>
      <c r="R203" s="11" t="str">
        <f t="shared" si="15"/>
        <v/>
      </c>
    </row>
    <row r="204" spans="1:18" x14ac:dyDescent="0.25">
      <c r="A204" s="10"/>
      <c r="F204" s="11">
        <f>IF(E204="Pass",IFERROR(INDEX(Config!$F$4:$F$5,MATCH(C204,Config!$E$4:$E$5,0)),0),0)</f>
        <v>0</v>
      </c>
      <c r="G204" s="12"/>
      <c r="H204" s="12" t="str">
        <f>IF(C204="Forecasting",IFERROR(INDEX(Config!$B$4:$B$6,MATCH(D204,Config!$A$4:$A$6,0)),""),"")</f>
        <v/>
      </c>
      <c r="I20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4" s="13">
        <f t="shared" si="12"/>
        <v>0</v>
      </c>
      <c r="K204" s="12"/>
      <c r="L204" s="13">
        <f>IF(K204="",0,IF(K204&gt;=Config!$B$12,0,IF(K204&gt;Config!$F$14,INDEX(Config!$H$4:$H$5,MATCH(C204,Config!$E$4:$E$5,0))*Config!$F$11,INDEX(Config!$H$4:$H$5,MATCH(C204,Config!$E$4:$E$5,0)))))</f>
        <v>0</v>
      </c>
      <c r="M204" s="13">
        <f>IF(K204="",0,IF(K204&gt;=Config!$B$12,0,IF(K204&gt;=0.96,0,IF(K204&gt;=0.9,Config!$F$12,Config!$F$13))))</f>
        <v>0</v>
      </c>
      <c r="O204" s="11">
        <f>IF(N204="Pass",IFERROR(INDEX(Config!$I$4:$I$5,MATCH(C204,Config!$E$4:$E$5,0)),0),0)</f>
        <v>0</v>
      </c>
      <c r="P204" s="13">
        <f t="shared" si="13"/>
        <v>0</v>
      </c>
      <c r="Q204" s="11" t="str">
        <f t="shared" si="14"/>
        <v/>
      </c>
      <c r="R204" s="11" t="str">
        <f t="shared" si="15"/>
        <v/>
      </c>
    </row>
    <row r="205" spans="1:18" x14ac:dyDescent="0.25">
      <c r="A205" s="10"/>
      <c r="F205" s="11">
        <f>IF(E205="Pass",IFERROR(INDEX(Config!$F$4:$F$5,MATCH(C205,Config!$E$4:$E$5,0)),0),0)</f>
        <v>0</v>
      </c>
      <c r="G205" s="12"/>
      <c r="H205" s="12" t="str">
        <f>IF(C205="Forecasting",IFERROR(INDEX(Config!$B$4:$B$6,MATCH(D205,Config!$A$4:$A$6,0)),""),"")</f>
        <v/>
      </c>
      <c r="I20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5" s="13">
        <f t="shared" si="12"/>
        <v>0</v>
      </c>
      <c r="K205" s="12"/>
      <c r="L205" s="13">
        <f>IF(K205="",0,IF(K205&gt;=Config!$B$12,0,IF(K205&gt;Config!$F$14,INDEX(Config!$H$4:$H$5,MATCH(C205,Config!$E$4:$E$5,0))*Config!$F$11,INDEX(Config!$H$4:$H$5,MATCH(C205,Config!$E$4:$E$5,0)))))</f>
        <v>0</v>
      </c>
      <c r="M205" s="13">
        <f>IF(K205="",0,IF(K205&gt;=Config!$B$12,0,IF(K205&gt;=0.96,0,IF(K205&gt;=0.9,Config!$F$12,Config!$F$13))))</f>
        <v>0</v>
      </c>
      <c r="O205" s="11">
        <f>IF(N205="Pass",IFERROR(INDEX(Config!$I$4:$I$5,MATCH(C205,Config!$E$4:$E$5,0)),0),0)</f>
        <v>0</v>
      </c>
      <c r="P205" s="13">
        <f t="shared" si="13"/>
        <v>0</v>
      </c>
      <c r="Q205" s="11" t="str">
        <f t="shared" si="14"/>
        <v/>
      </c>
      <c r="R205" s="11" t="str">
        <f t="shared" si="15"/>
        <v/>
      </c>
    </row>
    <row r="206" spans="1:18" x14ac:dyDescent="0.25">
      <c r="A206" s="10"/>
      <c r="F206" s="11">
        <f>IF(E206="Pass",IFERROR(INDEX(Config!$F$4:$F$5,MATCH(C206,Config!$E$4:$E$5,0)),0),0)</f>
        <v>0</v>
      </c>
      <c r="G206" s="12"/>
      <c r="H206" s="12" t="str">
        <f>IF(C206="Forecasting",IFERROR(INDEX(Config!$B$4:$B$6,MATCH(D206,Config!$A$4:$A$6,0)),""),"")</f>
        <v/>
      </c>
      <c r="I20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6" s="13">
        <f t="shared" si="12"/>
        <v>0</v>
      </c>
      <c r="K206" s="12"/>
      <c r="L206" s="13">
        <f>IF(K206="",0,IF(K206&gt;=Config!$B$12,0,IF(K206&gt;Config!$F$14,INDEX(Config!$H$4:$H$5,MATCH(C206,Config!$E$4:$E$5,0))*Config!$F$11,INDEX(Config!$H$4:$H$5,MATCH(C206,Config!$E$4:$E$5,0)))))</f>
        <v>0</v>
      </c>
      <c r="M206" s="13">
        <f>IF(K206="",0,IF(K206&gt;=Config!$B$12,0,IF(K206&gt;=0.96,0,IF(K206&gt;=0.9,Config!$F$12,Config!$F$13))))</f>
        <v>0</v>
      </c>
      <c r="O206" s="11">
        <f>IF(N206="Pass",IFERROR(INDEX(Config!$I$4:$I$5,MATCH(C206,Config!$E$4:$E$5,0)),0),0)</f>
        <v>0</v>
      </c>
      <c r="P206" s="13">
        <f t="shared" si="13"/>
        <v>0</v>
      </c>
      <c r="Q206" s="11" t="str">
        <f t="shared" si="14"/>
        <v/>
      </c>
      <c r="R206" s="11" t="str">
        <f t="shared" si="15"/>
        <v/>
      </c>
    </row>
    <row r="207" spans="1:18" x14ac:dyDescent="0.25">
      <c r="A207" s="10"/>
      <c r="F207" s="11">
        <f>IF(E207="Pass",IFERROR(INDEX(Config!$F$4:$F$5,MATCH(C207,Config!$E$4:$E$5,0)),0),0)</f>
        <v>0</v>
      </c>
      <c r="G207" s="12"/>
      <c r="H207" s="12" t="str">
        <f>IF(C207="Forecasting",IFERROR(INDEX(Config!$B$4:$B$6,MATCH(D207,Config!$A$4:$A$6,0)),""),"")</f>
        <v/>
      </c>
      <c r="I20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7" s="13">
        <f t="shared" si="12"/>
        <v>0</v>
      </c>
      <c r="K207" s="12"/>
      <c r="L207" s="13">
        <f>IF(K207="",0,IF(K207&gt;=Config!$B$12,0,IF(K207&gt;Config!$F$14,INDEX(Config!$H$4:$H$5,MATCH(C207,Config!$E$4:$E$5,0))*Config!$F$11,INDEX(Config!$H$4:$H$5,MATCH(C207,Config!$E$4:$E$5,0)))))</f>
        <v>0</v>
      </c>
      <c r="M207" s="13">
        <f>IF(K207="",0,IF(K207&gt;=Config!$B$12,0,IF(K207&gt;=0.96,0,IF(K207&gt;=0.9,Config!$F$12,Config!$F$13))))</f>
        <v>0</v>
      </c>
      <c r="O207" s="11">
        <f>IF(N207="Pass",IFERROR(INDEX(Config!$I$4:$I$5,MATCH(C207,Config!$E$4:$E$5,0)),0),0)</f>
        <v>0</v>
      </c>
      <c r="P207" s="13">
        <f t="shared" si="13"/>
        <v>0</v>
      </c>
      <c r="Q207" s="11" t="str">
        <f t="shared" si="14"/>
        <v/>
      </c>
      <c r="R207" s="11" t="str">
        <f t="shared" si="15"/>
        <v/>
      </c>
    </row>
    <row r="208" spans="1:18" x14ac:dyDescent="0.25">
      <c r="A208" s="10"/>
      <c r="F208" s="11">
        <f>IF(E208="Pass",IFERROR(INDEX(Config!$F$4:$F$5,MATCH(C208,Config!$E$4:$E$5,0)),0),0)</f>
        <v>0</v>
      </c>
      <c r="G208" s="12"/>
      <c r="H208" s="12" t="str">
        <f>IF(C208="Forecasting",IFERROR(INDEX(Config!$B$4:$B$6,MATCH(D208,Config!$A$4:$A$6,0)),""),"")</f>
        <v/>
      </c>
      <c r="I20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8" s="13">
        <f t="shared" si="12"/>
        <v>0</v>
      </c>
      <c r="K208" s="12"/>
      <c r="L208" s="13">
        <f>IF(K208="",0,IF(K208&gt;=Config!$B$12,0,IF(K208&gt;Config!$F$14,INDEX(Config!$H$4:$H$5,MATCH(C208,Config!$E$4:$E$5,0))*Config!$F$11,INDEX(Config!$H$4:$H$5,MATCH(C208,Config!$E$4:$E$5,0)))))</f>
        <v>0</v>
      </c>
      <c r="M208" s="13">
        <f>IF(K208="",0,IF(K208&gt;=Config!$B$12,0,IF(K208&gt;=0.96,0,IF(K208&gt;=0.9,Config!$F$12,Config!$F$13))))</f>
        <v>0</v>
      </c>
      <c r="O208" s="11">
        <f>IF(N208="Pass",IFERROR(INDEX(Config!$I$4:$I$5,MATCH(C208,Config!$E$4:$E$5,0)),0),0)</f>
        <v>0</v>
      </c>
      <c r="P208" s="13">
        <f t="shared" si="13"/>
        <v>0</v>
      </c>
      <c r="Q208" s="11" t="str">
        <f t="shared" si="14"/>
        <v/>
      </c>
      <c r="R208" s="11" t="str">
        <f t="shared" si="15"/>
        <v/>
      </c>
    </row>
    <row r="209" spans="1:18" x14ac:dyDescent="0.25">
      <c r="A209" s="10"/>
      <c r="F209" s="11">
        <f>IF(E209="Pass",IFERROR(INDEX(Config!$F$4:$F$5,MATCH(C209,Config!$E$4:$E$5,0)),0),0)</f>
        <v>0</v>
      </c>
      <c r="G209" s="12"/>
      <c r="H209" s="12" t="str">
        <f>IF(C209="Forecasting",IFERROR(INDEX(Config!$B$4:$B$6,MATCH(D209,Config!$A$4:$A$6,0)),""),"")</f>
        <v/>
      </c>
      <c r="I20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09" s="13">
        <f t="shared" si="12"/>
        <v>0</v>
      </c>
      <c r="K209" s="12"/>
      <c r="L209" s="13">
        <f>IF(K209="",0,IF(K209&gt;=Config!$B$12,0,IF(K209&gt;Config!$F$14,INDEX(Config!$H$4:$H$5,MATCH(C209,Config!$E$4:$E$5,0))*Config!$F$11,INDEX(Config!$H$4:$H$5,MATCH(C209,Config!$E$4:$E$5,0)))))</f>
        <v>0</v>
      </c>
      <c r="M209" s="13">
        <f>IF(K209="",0,IF(K209&gt;=Config!$B$12,0,IF(K209&gt;=0.96,0,IF(K209&gt;=0.9,Config!$F$12,Config!$F$13))))</f>
        <v>0</v>
      </c>
      <c r="O209" s="11">
        <f>IF(N209="Pass",IFERROR(INDEX(Config!$I$4:$I$5,MATCH(C209,Config!$E$4:$E$5,0)),0),0)</f>
        <v>0</v>
      </c>
      <c r="P209" s="13">
        <f t="shared" si="13"/>
        <v>0</v>
      </c>
      <c r="Q209" s="11" t="str">
        <f t="shared" si="14"/>
        <v/>
      </c>
      <c r="R209" s="11" t="str">
        <f t="shared" si="15"/>
        <v/>
      </c>
    </row>
    <row r="210" spans="1:18" x14ac:dyDescent="0.25">
      <c r="A210" s="10"/>
      <c r="F210" s="11">
        <f>IF(E210="Pass",IFERROR(INDEX(Config!$F$4:$F$5,MATCH(C210,Config!$E$4:$E$5,0)),0),0)</f>
        <v>0</v>
      </c>
      <c r="G210" s="12"/>
      <c r="H210" s="12" t="str">
        <f>IF(C210="Forecasting",IFERROR(INDEX(Config!$B$4:$B$6,MATCH(D210,Config!$A$4:$A$6,0)),""),"")</f>
        <v/>
      </c>
      <c r="I21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0" s="13">
        <f t="shared" si="12"/>
        <v>0</v>
      </c>
      <c r="K210" s="12"/>
      <c r="L210" s="13">
        <f>IF(K210="",0,IF(K210&gt;=Config!$B$12,0,IF(K210&gt;Config!$F$14,INDEX(Config!$H$4:$H$5,MATCH(C210,Config!$E$4:$E$5,0))*Config!$F$11,INDEX(Config!$H$4:$H$5,MATCH(C210,Config!$E$4:$E$5,0)))))</f>
        <v>0</v>
      </c>
      <c r="M210" s="13">
        <f>IF(K210="",0,IF(K210&gt;=Config!$B$12,0,IF(K210&gt;=0.96,0,IF(K210&gt;=0.9,Config!$F$12,Config!$F$13))))</f>
        <v>0</v>
      </c>
      <c r="O210" s="11">
        <f>IF(N210="Pass",IFERROR(INDEX(Config!$I$4:$I$5,MATCH(C210,Config!$E$4:$E$5,0)),0),0)</f>
        <v>0</v>
      </c>
      <c r="P210" s="13">
        <f t="shared" si="13"/>
        <v>0</v>
      </c>
      <c r="Q210" s="11" t="str">
        <f t="shared" si="14"/>
        <v/>
      </c>
      <c r="R210" s="11" t="str">
        <f t="shared" si="15"/>
        <v/>
      </c>
    </row>
    <row r="211" spans="1:18" x14ac:dyDescent="0.25">
      <c r="A211" s="10"/>
      <c r="F211" s="11">
        <f>IF(E211="Pass",IFERROR(INDEX(Config!$F$4:$F$5,MATCH(C211,Config!$E$4:$E$5,0)),0),0)</f>
        <v>0</v>
      </c>
      <c r="G211" s="12"/>
      <c r="H211" s="12" t="str">
        <f>IF(C211="Forecasting",IFERROR(INDEX(Config!$B$4:$B$6,MATCH(D211,Config!$A$4:$A$6,0)),""),"")</f>
        <v/>
      </c>
      <c r="I21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1" s="13">
        <f t="shared" si="12"/>
        <v>0</v>
      </c>
      <c r="K211" s="12"/>
      <c r="L211" s="13">
        <f>IF(K211="",0,IF(K211&gt;=Config!$B$12,0,IF(K211&gt;Config!$F$14,INDEX(Config!$H$4:$H$5,MATCH(C211,Config!$E$4:$E$5,0))*Config!$F$11,INDEX(Config!$H$4:$H$5,MATCH(C211,Config!$E$4:$E$5,0)))))</f>
        <v>0</v>
      </c>
      <c r="M211" s="13">
        <f>IF(K211="",0,IF(K211&gt;=Config!$B$12,0,IF(K211&gt;=0.96,0,IF(K211&gt;=0.9,Config!$F$12,Config!$F$13))))</f>
        <v>0</v>
      </c>
      <c r="O211" s="11">
        <f>IF(N211="Pass",IFERROR(INDEX(Config!$I$4:$I$5,MATCH(C211,Config!$E$4:$E$5,0)),0),0)</f>
        <v>0</v>
      </c>
      <c r="P211" s="13">
        <f t="shared" si="13"/>
        <v>0</v>
      </c>
      <c r="Q211" s="11" t="str">
        <f t="shared" si="14"/>
        <v/>
      </c>
      <c r="R211" s="11" t="str">
        <f t="shared" si="15"/>
        <v/>
      </c>
    </row>
    <row r="212" spans="1:18" x14ac:dyDescent="0.25">
      <c r="A212" s="10"/>
      <c r="F212" s="11">
        <f>IF(E212="Pass",IFERROR(INDEX(Config!$F$4:$F$5,MATCH(C212,Config!$E$4:$E$5,0)),0),0)</f>
        <v>0</v>
      </c>
      <c r="G212" s="12"/>
      <c r="H212" s="12" t="str">
        <f>IF(C212="Forecasting",IFERROR(INDEX(Config!$B$4:$B$6,MATCH(D212,Config!$A$4:$A$6,0)),""),"")</f>
        <v/>
      </c>
      <c r="I21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2" s="13">
        <f t="shared" si="12"/>
        <v>0</v>
      </c>
      <c r="K212" s="12"/>
      <c r="L212" s="13">
        <f>IF(K212="",0,IF(K212&gt;=Config!$B$12,0,IF(K212&gt;Config!$F$14,INDEX(Config!$H$4:$H$5,MATCH(C212,Config!$E$4:$E$5,0))*Config!$F$11,INDEX(Config!$H$4:$H$5,MATCH(C212,Config!$E$4:$E$5,0)))))</f>
        <v>0</v>
      </c>
      <c r="M212" s="13">
        <f>IF(K212="",0,IF(K212&gt;=Config!$B$12,0,IF(K212&gt;=0.96,0,IF(K212&gt;=0.9,Config!$F$12,Config!$F$13))))</f>
        <v>0</v>
      </c>
      <c r="O212" s="11">
        <f>IF(N212="Pass",IFERROR(INDEX(Config!$I$4:$I$5,MATCH(C212,Config!$E$4:$E$5,0)),0),0)</f>
        <v>0</v>
      </c>
      <c r="P212" s="13">
        <f t="shared" si="13"/>
        <v>0</v>
      </c>
      <c r="Q212" s="11" t="str">
        <f t="shared" si="14"/>
        <v/>
      </c>
      <c r="R212" s="11" t="str">
        <f t="shared" si="15"/>
        <v/>
      </c>
    </row>
    <row r="213" spans="1:18" x14ac:dyDescent="0.25">
      <c r="A213" s="10"/>
      <c r="F213" s="11">
        <f>IF(E213="Pass",IFERROR(INDEX(Config!$F$4:$F$5,MATCH(C213,Config!$E$4:$E$5,0)),0),0)</f>
        <v>0</v>
      </c>
      <c r="G213" s="12"/>
      <c r="H213" s="12" t="str">
        <f>IF(C213="Forecasting",IFERROR(INDEX(Config!$B$4:$B$6,MATCH(D213,Config!$A$4:$A$6,0)),""),"")</f>
        <v/>
      </c>
      <c r="I21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3" s="13">
        <f t="shared" si="12"/>
        <v>0</v>
      </c>
      <c r="K213" s="12"/>
      <c r="L213" s="13">
        <f>IF(K213="",0,IF(K213&gt;=Config!$B$12,0,IF(K213&gt;Config!$F$14,INDEX(Config!$H$4:$H$5,MATCH(C213,Config!$E$4:$E$5,0))*Config!$F$11,INDEX(Config!$H$4:$H$5,MATCH(C213,Config!$E$4:$E$5,0)))))</f>
        <v>0</v>
      </c>
      <c r="M213" s="13">
        <f>IF(K213="",0,IF(K213&gt;=Config!$B$12,0,IF(K213&gt;=0.96,0,IF(K213&gt;=0.9,Config!$F$12,Config!$F$13))))</f>
        <v>0</v>
      </c>
      <c r="O213" s="11">
        <f>IF(N213="Pass",IFERROR(INDEX(Config!$I$4:$I$5,MATCH(C213,Config!$E$4:$E$5,0)),0),0)</f>
        <v>0</v>
      </c>
      <c r="P213" s="13">
        <f t="shared" si="13"/>
        <v>0</v>
      </c>
      <c r="Q213" s="11" t="str">
        <f t="shared" si="14"/>
        <v/>
      </c>
      <c r="R213" s="11" t="str">
        <f t="shared" si="15"/>
        <v/>
      </c>
    </row>
    <row r="214" spans="1:18" x14ac:dyDescent="0.25">
      <c r="A214" s="10"/>
      <c r="F214" s="11">
        <f>IF(E214="Pass",IFERROR(INDEX(Config!$F$4:$F$5,MATCH(C214,Config!$E$4:$E$5,0)),0),0)</f>
        <v>0</v>
      </c>
      <c r="G214" s="12"/>
      <c r="H214" s="12" t="str">
        <f>IF(C214="Forecasting",IFERROR(INDEX(Config!$B$4:$B$6,MATCH(D214,Config!$A$4:$A$6,0)),""),"")</f>
        <v/>
      </c>
      <c r="I21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4" s="13">
        <f t="shared" si="12"/>
        <v>0</v>
      </c>
      <c r="K214" s="12"/>
      <c r="L214" s="13">
        <f>IF(K214="",0,IF(K214&gt;=Config!$B$12,0,IF(K214&gt;Config!$F$14,INDEX(Config!$H$4:$H$5,MATCH(C214,Config!$E$4:$E$5,0))*Config!$F$11,INDEX(Config!$H$4:$H$5,MATCH(C214,Config!$E$4:$E$5,0)))))</f>
        <v>0</v>
      </c>
      <c r="M214" s="13">
        <f>IF(K214="",0,IF(K214&gt;=Config!$B$12,0,IF(K214&gt;=0.96,0,IF(K214&gt;=0.9,Config!$F$12,Config!$F$13))))</f>
        <v>0</v>
      </c>
      <c r="O214" s="11">
        <f>IF(N214="Pass",IFERROR(INDEX(Config!$I$4:$I$5,MATCH(C214,Config!$E$4:$E$5,0)),0),0)</f>
        <v>0</v>
      </c>
      <c r="P214" s="13">
        <f t="shared" si="13"/>
        <v>0</v>
      </c>
      <c r="Q214" s="11" t="str">
        <f t="shared" si="14"/>
        <v/>
      </c>
      <c r="R214" s="11" t="str">
        <f t="shared" si="15"/>
        <v/>
      </c>
    </row>
    <row r="215" spans="1:18" x14ac:dyDescent="0.25">
      <c r="A215" s="10"/>
      <c r="F215" s="11">
        <f>IF(E215="Pass",IFERROR(INDEX(Config!$F$4:$F$5,MATCH(C215,Config!$E$4:$E$5,0)),0),0)</f>
        <v>0</v>
      </c>
      <c r="G215" s="12"/>
      <c r="H215" s="12" t="str">
        <f>IF(C215="Forecasting",IFERROR(INDEX(Config!$B$4:$B$6,MATCH(D215,Config!$A$4:$A$6,0)),""),"")</f>
        <v/>
      </c>
      <c r="I21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5" s="13">
        <f t="shared" si="12"/>
        <v>0</v>
      </c>
      <c r="K215" s="12"/>
      <c r="L215" s="13">
        <f>IF(K215="",0,IF(K215&gt;=Config!$B$12,0,IF(K215&gt;Config!$F$14,INDEX(Config!$H$4:$H$5,MATCH(C215,Config!$E$4:$E$5,0))*Config!$F$11,INDEX(Config!$H$4:$H$5,MATCH(C215,Config!$E$4:$E$5,0)))))</f>
        <v>0</v>
      </c>
      <c r="M215" s="13">
        <f>IF(K215="",0,IF(K215&gt;=Config!$B$12,0,IF(K215&gt;=0.96,0,IF(K215&gt;=0.9,Config!$F$12,Config!$F$13))))</f>
        <v>0</v>
      </c>
      <c r="O215" s="11">
        <f>IF(N215="Pass",IFERROR(INDEX(Config!$I$4:$I$5,MATCH(C215,Config!$E$4:$E$5,0)),0),0)</f>
        <v>0</v>
      </c>
      <c r="P215" s="13">
        <f t="shared" si="13"/>
        <v>0</v>
      </c>
      <c r="Q215" s="11" t="str">
        <f t="shared" si="14"/>
        <v/>
      </c>
      <c r="R215" s="11" t="str">
        <f t="shared" si="15"/>
        <v/>
      </c>
    </row>
    <row r="216" spans="1:18" x14ac:dyDescent="0.25">
      <c r="A216" s="10"/>
      <c r="F216" s="11">
        <f>IF(E216="Pass",IFERROR(INDEX(Config!$F$4:$F$5,MATCH(C216,Config!$E$4:$E$5,0)),0),0)</f>
        <v>0</v>
      </c>
      <c r="G216" s="12"/>
      <c r="H216" s="12" t="str">
        <f>IF(C216="Forecasting",IFERROR(INDEX(Config!$B$4:$B$6,MATCH(D216,Config!$A$4:$A$6,0)),""),"")</f>
        <v/>
      </c>
      <c r="I21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6" s="13">
        <f t="shared" si="12"/>
        <v>0</v>
      </c>
      <c r="K216" s="12"/>
      <c r="L216" s="13">
        <f>IF(K216="",0,IF(K216&gt;=Config!$B$12,0,IF(K216&gt;Config!$F$14,INDEX(Config!$H$4:$H$5,MATCH(C216,Config!$E$4:$E$5,0))*Config!$F$11,INDEX(Config!$H$4:$H$5,MATCH(C216,Config!$E$4:$E$5,0)))))</f>
        <v>0</v>
      </c>
      <c r="M216" s="13">
        <f>IF(K216="",0,IF(K216&gt;=Config!$B$12,0,IF(K216&gt;=0.96,0,IF(K216&gt;=0.9,Config!$F$12,Config!$F$13))))</f>
        <v>0</v>
      </c>
      <c r="O216" s="11">
        <f>IF(N216="Pass",IFERROR(INDEX(Config!$I$4:$I$5,MATCH(C216,Config!$E$4:$E$5,0)),0),0)</f>
        <v>0</v>
      </c>
      <c r="P216" s="13">
        <f t="shared" si="13"/>
        <v>0</v>
      </c>
      <c r="Q216" s="11" t="str">
        <f t="shared" si="14"/>
        <v/>
      </c>
      <c r="R216" s="11" t="str">
        <f t="shared" si="15"/>
        <v/>
      </c>
    </row>
    <row r="217" spans="1:18" x14ac:dyDescent="0.25">
      <c r="A217" s="10"/>
      <c r="F217" s="11">
        <f>IF(E217="Pass",IFERROR(INDEX(Config!$F$4:$F$5,MATCH(C217,Config!$E$4:$E$5,0)),0),0)</f>
        <v>0</v>
      </c>
      <c r="G217" s="12"/>
      <c r="H217" s="12" t="str">
        <f>IF(C217="Forecasting",IFERROR(INDEX(Config!$B$4:$B$6,MATCH(D217,Config!$A$4:$A$6,0)),""),"")</f>
        <v/>
      </c>
      <c r="I21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7" s="13">
        <f t="shared" si="12"/>
        <v>0</v>
      </c>
      <c r="K217" s="12"/>
      <c r="L217" s="13">
        <f>IF(K217="",0,IF(K217&gt;=Config!$B$12,0,IF(K217&gt;Config!$F$14,INDEX(Config!$H$4:$H$5,MATCH(C217,Config!$E$4:$E$5,0))*Config!$F$11,INDEX(Config!$H$4:$H$5,MATCH(C217,Config!$E$4:$E$5,0)))))</f>
        <v>0</v>
      </c>
      <c r="M217" s="13">
        <f>IF(K217="",0,IF(K217&gt;=Config!$B$12,0,IF(K217&gt;=0.96,0,IF(K217&gt;=0.9,Config!$F$12,Config!$F$13))))</f>
        <v>0</v>
      </c>
      <c r="O217" s="11">
        <f>IF(N217="Pass",IFERROR(INDEX(Config!$I$4:$I$5,MATCH(C217,Config!$E$4:$E$5,0)),0),0)</f>
        <v>0</v>
      </c>
      <c r="P217" s="13">
        <f t="shared" si="13"/>
        <v>0</v>
      </c>
      <c r="Q217" s="11" t="str">
        <f t="shared" si="14"/>
        <v/>
      </c>
      <c r="R217" s="11" t="str">
        <f t="shared" si="15"/>
        <v/>
      </c>
    </row>
    <row r="218" spans="1:18" x14ac:dyDescent="0.25">
      <c r="A218" s="10"/>
      <c r="F218" s="11">
        <f>IF(E218="Pass",IFERROR(INDEX(Config!$F$4:$F$5,MATCH(C218,Config!$E$4:$E$5,0)),0),0)</f>
        <v>0</v>
      </c>
      <c r="G218" s="12"/>
      <c r="H218" s="12" t="str">
        <f>IF(C218="Forecasting",IFERROR(INDEX(Config!$B$4:$B$6,MATCH(D218,Config!$A$4:$A$6,0)),""),"")</f>
        <v/>
      </c>
      <c r="I21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8" s="13">
        <f t="shared" si="12"/>
        <v>0</v>
      </c>
      <c r="K218" s="12"/>
      <c r="L218" s="13">
        <f>IF(K218="",0,IF(K218&gt;=Config!$B$12,0,IF(K218&gt;Config!$F$14,INDEX(Config!$H$4:$H$5,MATCH(C218,Config!$E$4:$E$5,0))*Config!$F$11,INDEX(Config!$H$4:$H$5,MATCH(C218,Config!$E$4:$E$5,0)))))</f>
        <v>0</v>
      </c>
      <c r="M218" s="13">
        <f>IF(K218="",0,IF(K218&gt;=Config!$B$12,0,IF(K218&gt;=0.96,0,IF(K218&gt;=0.9,Config!$F$12,Config!$F$13))))</f>
        <v>0</v>
      </c>
      <c r="O218" s="11">
        <f>IF(N218="Pass",IFERROR(INDEX(Config!$I$4:$I$5,MATCH(C218,Config!$E$4:$E$5,0)),0),0)</f>
        <v>0</v>
      </c>
      <c r="P218" s="13">
        <f t="shared" si="13"/>
        <v>0</v>
      </c>
      <c r="Q218" s="11" t="str">
        <f t="shared" si="14"/>
        <v/>
      </c>
      <c r="R218" s="11" t="str">
        <f t="shared" si="15"/>
        <v/>
      </c>
    </row>
    <row r="219" spans="1:18" x14ac:dyDescent="0.25">
      <c r="A219" s="10"/>
      <c r="F219" s="11">
        <f>IF(E219="Pass",IFERROR(INDEX(Config!$F$4:$F$5,MATCH(C219,Config!$E$4:$E$5,0)),0),0)</f>
        <v>0</v>
      </c>
      <c r="G219" s="12"/>
      <c r="H219" s="12" t="str">
        <f>IF(C219="Forecasting",IFERROR(INDEX(Config!$B$4:$B$6,MATCH(D219,Config!$A$4:$A$6,0)),""),"")</f>
        <v/>
      </c>
      <c r="I21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19" s="13">
        <f t="shared" si="12"/>
        <v>0</v>
      </c>
      <c r="K219" s="12"/>
      <c r="L219" s="13">
        <f>IF(K219="",0,IF(K219&gt;=Config!$B$12,0,IF(K219&gt;Config!$F$14,INDEX(Config!$H$4:$H$5,MATCH(C219,Config!$E$4:$E$5,0))*Config!$F$11,INDEX(Config!$H$4:$H$5,MATCH(C219,Config!$E$4:$E$5,0)))))</f>
        <v>0</v>
      </c>
      <c r="M219" s="13">
        <f>IF(K219="",0,IF(K219&gt;=Config!$B$12,0,IF(K219&gt;=0.96,0,IF(K219&gt;=0.9,Config!$F$12,Config!$F$13))))</f>
        <v>0</v>
      </c>
      <c r="O219" s="11">
        <f>IF(N219="Pass",IFERROR(INDEX(Config!$I$4:$I$5,MATCH(C219,Config!$E$4:$E$5,0)),0),0)</f>
        <v>0</v>
      </c>
      <c r="P219" s="13">
        <f t="shared" si="13"/>
        <v>0</v>
      </c>
      <c r="Q219" s="11" t="str">
        <f t="shared" si="14"/>
        <v/>
      </c>
      <c r="R219" s="11" t="str">
        <f t="shared" si="15"/>
        <v/>
      </c>
    </row>
    <row r="220" spans="1:18" x14ac:dyDescent="0.25">
      <c r="A220" s="10"/>
      <c r="F220" s="11">
        <f>IF(E220="Pass",IFERROR(INDEX(Config!$F$4:$F$5,MATCH(C220,Config!$E$4:$E$5,0)),0),0)</f>
        <v>0</v>
      </c>
      <c r="G220" s="12"/>
      <c r="H220" s="12" t="str">
        <f>IF(C220="Forecasting",IFERROR(INDEX(Config!$B$4:$B$6,MATCH(D220,Config!$A$4:$A$6,0)),""),"")</f>
        <v/>
      </c>
      <c r="I22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0" s="13">
        <f t="shared" si="12"/>
        <v>0</v>
      </c>
      <c r="K220" s="12"/>
      <c r="L220" s="13">
        <f>IF(K220="",0,IF(K220&gt;=Config!$B$12,0,IF(K220&gt;Config!$F$14,INDEX(Config!$H$4:$H$5,MATCH(C220,Config!$E$4:$E$5,0))*Config!$F$11,INDEX(Config!$H$4:$H$5,MATCH(C220,Config!$E$4:$E$5,0)))))</f>
        <v>0</v>
      </c>
      <c r="M220" s="13">
        <f>IF(K220="",0,IF(K220&gt;=Config!$B$12,0,IF(K220&gt;=0.96,0,IF(K220&gt;=0.9,Config!$F$12,Config!$F$13))))</f>
        <v>0</v>
      </c>
      <c r="O220" s="11">
        <f>IF(N220="Pass",IFERROR(INDEX(Config!$I$4:$I$5,MATCH(C220,Config!$E$4:$E$5,0)),0),0)</f>
        <v>0</v>
      </c>
      <c r="P220" s="13">
        <f t="shared" si="13"/>
        <v>0</v>
      </c>
      <c r="Q220" s="11" t="str">
        <f t="shared" si="14"/>
        <v/>
      </c>
      <c r="R220" s="11" t="str">
        <f t="shared" si="15"/>
        <v/>
      </c>
    </row>
    <row r="221" spans="1:18" x14ac:dyDescent="0.25">
      <c r="A221" s="10"/>
      <c r="F221" s="11">
        <f>IF(E221="Pass",IFERROR(INDEX(Config!$F$4:$F$5,MATCH(C221,Config!$E$4:$E$5,0)),0),0)</f>
        <v>0</v>
      </c>
      <c r="G221" s="12"/>
      <c r="H221" s="12" t="str">
        <f>IF(C221="Forecasting",IFERROR(INDEX(Config!$B$4:$B$6,MATCH(D221,Config!$A$4:$A$6,0)),""),"")</f>
        <v/>
      </c>
      <c r="I22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1" s="13">
        <f t="shared" si="12"/>
        <v>0</v>
      </c>
      <c r="K221" s="12"/>
      <c r="L221" s="13">
        <f>IF(K221="",0,IF(K221&gt;=Config!$B$12,0,IF(K221&gt;Config!$F$14,INDEX(Config!$H$4:$H$5,MATCH(C221,Config!$E$4:$E$5,0))*Config!$F$11,INDEX(Config!$H$4:$H$5,MATCH(C221,Config!$E$4:$E$5,0)))))</f>
        <v>0</v>
      </c>
      <c r="M221" s="13">
        <f>IF(K221="",0,IF(K221&gt;=Config!$B$12,0,IF(K221&gt;=0.96,0,IF(K221&gt;=0.9,Config!$F$12,Config!$F$13))))</f>
        <v>0</v>
      </c>
      <c r="O221" s="11">
        <f>IF(N221="Pass",IFERROR(INDEX(Config!$I$4:$I$5,MATCH(C221,Config!$E$4:$E$5,0)),0),0)</f>
        <v>0</v>
      </c>
      <c r="P221" s="13">
        <f t="shared" si="13"/>
        <v>0</v>
      </c>
      <c r="Q221" s="11" t="str">
        <f t="shared" si="14"/>
        <v/>
      </c>
      <c r="R221" s="11" t="str">
        <f t="shared" si="15"/>
        <v/>
      </c>
    </row>
    <row r="222" spans="1:18" x14ac:dyDescent="0.25">
      <c r="A222" s="10"/>
      <c r="F222" s="11">
        <f>IF(E222="Pass",IFERROR(INDEX(Config!$F$4:$F$5,MATCH(C222,Config!$E$4:$E$5,0)),0),0)</f>
        <v>0</v>
      </c>
      <c r="G222" s="12"/>
      <c r="H222" s="12" t="str">
        <f>IF(C222="Forecasting",IFERROR(INDEX(Config!$B$4:$B$6,MATCH(D222,Config!$A$4:$A$6,0)),""),"")</f>
        <v/>
      </c>
      <c r="I22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2" s="13">
        <f t="shared" si="12"/>
        <v>0</v>
      </c>
      <c r="K222" s="12"/>
      <c r="L222" s="13">
        <f>IF(K222="",0,IF(K222&gt;=Config!$B$12,0,IF(K222&gt;Config!$F$14,INDEX(Config!$H$4:$H$5,MATCH(C222,Config!$E$4:$E$5,0))*Config!$F$11,INDEX(Config!$H$4:$H$5,MATCH(C222,Config!$E$4:$E$5,0)))))</f>
        <v>0</v>
      </c>
      <c r="M222" s="13">
        <f>IF(K222="",0,IF(K222&gt;=Config!$B$12,0,IF(K222&gt;=0.96,0,IF(K222&gt;=0.9,Config!$F$12,Config!$F$13))))</f>
        <v>0</v>
      </c>
      <c r="O222" s="11">
        <f>IF(N222="Pass",IFERROR(INDEX(Config!$I$4:$I$5,MATCH(C222,Config!$E$4:$E$5,0)),0),0)</f>
        <v>0</v>
      </c>
      <c r="P222" s="13">
        <f t="shared" si="13"/>
        <v>0</v>
      </c>
      <c r="Q222" s="11" t="str">
        <f t="shared" si="14"/>
        <v/>
      </c>
      <c r="R222" s="11" t="str">
        <f t="shared" si="15"/>
        <v/>
      </c>
    </row>
    <row r="223" spans="1:18" x14ac:dyDescent="0.25">
      <c r="A223" s="10"/>
      <c r="F223" s="11">
        <f>IF(E223="Pass",IFERROR(INDEX(Config!$F$4:$F$5,MATCH(C223,Config!$E$4:$E$5,0)),0),0)</f>
        <v>0</v>
      </c>
      <c r="G223" s="12"/>
      <c r="H223" s="12" t="str">
        <f>IF(C223="Forecasting",IFERROR(INDEX(Config!$B$4:$B$6,MATCH(D223,Config!$A$4:$A$6,0)),""),"")</f>
        <v/>
      </c>
      <c r="I22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3" s="13">
        <f t="shared" si="12"/>
        <v>0</v>
      </c>
      <c r="K223" s="12"/>
      <c r="L223" s="13">
        <f>IF(K223="",0,IF(K223&gt;=Config!$B$12,0,IF(K223&gt;Config!$F$14,INDEX(Config!$H$4:$H$5,MATCH(C223,Config!$E$4:$E$5,0))*Config!$F$11,INDEX(Config!$H$4:$H$5,MATCH(C223,Config!$E$4:$E$5,0)))))</f>
        <v>0</v>
      </c>
      <c r="M223" s="13">
        <f>IF(K223="",0,IF(K223&gt;=Config!$B$12,0,IF(K223&gt;=0.96,0,IF(K223&gt;=0.9,Config!$F$12,Config!$F$13))))</f>
        <v>0</v>
      </c>
      <c r="O223" s="11">
        <f>IF(N223="Pass",IFERROR(INDEX(Config!$I$4:$I$5,MATCH(C223,Config!$E$4:$E$5,0)),0),0)</f>
        <v>0</v>
      </c>
      <c r="P223" s="13">
        <f t="shared" si="13"/>
        <v>0</v>
      </c>
      <c r="Q223" s="11" t="str">
        <f t="shared" si="14"/>
        <v/>
      </c>
      <c r="R223" s="11" t="str">
        <f t="shared" si="15"/>
        <v/>
      </c>
    </row>
    <row r="224" spans="1:18" x14ac:dyDescent="0.25">
      <c r="A224" s="10"/>
      <c r="F224" s="11">
        <f>IF(E224="Pass",IFERROR(INDEX(Config!$F$4:$F$5,MATCH(C224,Config!$E$4:$E$5,0)),0),0)</f>
        <v>0</v>
      </c>
      <c r="G224" s="12"/>
      <c r="H224" s="12" t="str">
        <f>IF(C224="Forecasting",IFERROR(INDEX(Config!$B$4:$B$6,MATCH(D224,Config!$A$4:$A$6,0)),""),"")</f>
        <v/>
      </c>
      <c r="I22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4" s="13">
        <f t="shared" si="12"/>
        <v>0</v>
      </c>
      <c r="K224" s="12"/>
      <c r="L224" s="13">
        <f>IF(K224="",0,IF(K224&gt;=Config!$B$12,0,IF(K224&gt;Config!$F$14,INDEX(Config!$H$4:$H$5,MATCH(C224,Config!$E$4:$E$5,0))*Config!$F$11,INDEX(Config!$H$4:$H$5,MATCH(C224,Config!$E$4:$E$5,0)))))</f>
        <v>0</v>
      </c>
      <c r="M224" s="13">
        <f>IF(K224="",0,IF(K224&gt;=Config!$B$12,0,IF(K224&gt;=0.96,0,IF(K224&gt;=0.9,Config!$F$12,Config!$F$13))))</f>
        <v>0</v>
      </c>
      <c r="O224" s="11">
        <f>IF(N224="Pass",IFERROR(INDEX(Config!$I$4:$I$5,MATCH(C224,Config!$E$4:$E$5,0)),0),0)</f>
        <v>0</v>
      </c>
      <c r="P224" s="13">
        <f t="shared" si="13"/>
        <v>0</v>
      </c>
      <c r="Q224" s="11" t="str">
        <f t="shared" si="14"/>
        <v/>
      </c>
      <c r="R224" s="11" t="str">
        <f t="shared" si="15"/>
        <v/>
      </c>
    </row>
    <row r="225" spans="1:18" x14ac:dyDescent="0.25">
      <c r="A225" s="10"/>
      <c r="F225" s="11">
        <f>IF(E225="Pass",IFERROR(INDEX(Config!$F$4:$F$5,MATCH(C225,Config!$E$4:$E$5,0)),0),0)</f>
        <v>0</v>
      </c>
      <c r="G225" s="12"/>
      <c r="H225" s="12" t="str">
        <f>IF(C225="Forecasting",IFERROR(INDEX(Config!$B$4:$B$6,MATCH(D225,Config!$A$4:$A$6,0)),""),"")</f>
        <v/>
      </c>
      <c r="I22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5" s="13">
        <f t="shared" si="12"/>
        <v>0</v>
      </c>
      <c r="K225" s="12"/>
      <c r="L225" s="13">
        <f>IF(K225="",0,IF(K225&gt;=Config!$B$12,0,IF(K225&gt;Config!$F$14,INDEX(Config!$H$4:$H$5,MATCH(C225,Config!$E$4:$E$5,0))*Config!$F$11,INDEX(Config!$H$4:$H$5,MATCH(C225,Config!$E$4:$E$5,0)))))</f>
        <v>0</v>
      </c>
      <c r="M225" s="13">
        <f>IF(K225="",0,IF(K225&gt;=Config!$B$12,0,IF(K225&gt;=0.96,0,IF(K225&gt;=0.9,Config!$F$12,Config!$F$13))))</f>
        <v>0</v>
      </c>
      <c r="O225" s="11">
        <f>IF(N225="Pass",IFERROR(INDEX(Config!$I$4:$I$5,MATCH(C225,Config!$E$4:$E$5,0)),0),0)</f>
        <v>0</v>
      </c>
      <c r="P225" s="13">
        <f t="shared" si="13"/>
        <v>0</v>
      </c>
      <c r="Q225" s="11" t="str">
        <f t="shared" si="14"/>
        <v/>
      </c>
      <c r="R225" s="11" t="str">
        <f t="shared" si="15"/>
        <v/>
      </c>
    </row>
    <row r="226" spans="1:18" x14ac:dyDescent="0.25">
      <c r="A226" s="10"/>
      <c r="F226" s="11">
        <f>IF(E226="Pass",IFERROR(INDEX(Config!$F$4:$F$5,MATCH(C226,Config!$E$4:$E$5,0)),0),0)</f>
        <v>0</v>
      </c>
      <c r="G226" s="12"/>
      <c r="H226" s="12" t="str">
        <f>IF(C226="Forecasting",IFERROR(INDEX(Config!$B$4:$B$6,MATCH(D226,Config!$A$4:$A$6,0)),""),"")</f>
        <v/>
      </c>
      <c r="I22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6" s="13">
        <f t="shared" si="12"/>
        <v>0</v>
      </c>
      <c r="K226" s="12"/>
      <c r="L226" s="13">
        <f>IF(K226="",0,IF(K226&gt;=Config!$B$12,0,IF(K226&gt;Config!$F$14,INDEX(Config!$H$4:$H$5,MATCH(C226,Config!$E$4:$E$5,0))*Config!$F$11,INDEX(Config!$H$4:$H$5,MATCH(C226,Config!$E$4:$E$5,0)))))</f>
        <v>0</v>
      </c>
      <c r="M226" s="13">
        <f>IF(K226="",0,IF(K226&gt;=Config!$B$12,0,IF(K226&gt;=0.96,0,IF(K226&gt;=0.9,Config!$F$12,Config!$F$13))))</f>
        <v>0</v>
      </c>
      <c r="O226" s="11">
        <f>IF(N226="Pass",IFERROR(INDEX(Config!$I$4:$I$5,MATCH(C226,Config!$E$4:$E$5,0)),0),0)</f>
        <v>0</v>
      </c>
      <c r="P226" s="13">
        <f t="shared" si="13"/>
        <v>0</v>
      </c>
      <c r="Q226" s="11" t="str">
        <f t="shared" si="14"/>
        <v/>
      </c>
      <c r="R226" s="11" t="str">
        <f t="shared" si="15"/>
        <v/>
      </c>
    </row>
    <row r="227" spans="1:18" x14ac:dyDescent="0.25">
      <c r="A227" s="10"/>
      <c r="F227" s="11">
        <f>IF(E227="Pass",IFERROR(INDEX(Config!$F$4:$F$5,MATCH(C227,Config!$E$4:$E$5,0)),0),0)</f>
        <v>0</v>
      </c>
      <c r="G227" s="12"/>
      <c r="H227" s="12" t="str">
        <f>IF(C227="Forecasting",IFERROR(INDEX(Config!$B$4:$B$6,MATCH(D227,Config!$A$4:$A$6,0)),""),"")</f>
        <v/>
      </c>
      <c r="I22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7" s="13">
        <f t="shared" si="12"/>
        <v>0</v>
      </c>
      <c r="K227" s="12"/>
      <c r="L227" s="13">
        <f>IF(K227="",0,IF(K227&gt;=Config!$B$12,0,IF(K227&gt;Config!$F$14,INDEX(Config!$H$4:$H$5,MATCH(C227,Config!$E$4:$E$5,0))*Config!$F$11,INDEX(Config!$H$4:$H$5,MATCH(C227,Config!$E$4:$E$5,0)))))</f>
        <v>0</v>
      </c>
      <c r="M227" s="13">
        <f>IF(K227="",0,IF(K227&gt;=Config!$B$12,0,IF(K227&gt;=0.96,0,IF(K227&gt;=0.9,Config!$F$12,Config!$F$13))))</f>
        <v>0</v>
      </c>
      <c r="O227" s="11">
        <f>IF(N227="Pass",IFERROR(INDEX(Config!$I$4:$I$5,MATCH(C227,Config!$E$4:$E$5,0)),0),0)</f>
        <v>0</v>
      </c>
      <c r="P227" s="13">
        <f t="shared" si="13"/>
        <v>0</v>
      </c>
      <c r="Q227" s="11" t="str">
        <f t="shared" si="14"/>
        <v/>
      </c>
      <c r="R227" s="11" t="str">
        <f t="shared" si="15"/>
        <v/>
      </c>
    </row>
    <row r="228" spans="1:18" x14ac:dyDescent="0.25">
      <c r="A228" s="10"/>
      <c r="F228" s="11">
        <f>IF(E228="Pass",IFERROR(INDEX(Config!$F$4:$F$5,MATCH(C228,Config!$E$4:$E$5,0)),0),0)</f>
        <v>0</v>
      </c>
      <c r="G228" s="12"/>
      <c r="H228" s="12" t="str">
        <f>IF(C228="Forecasting",IFERROR(INDEX(Config!$B$4:$B$6,MATCH(D228,Config!$A$4:$A$6,0)),""),"")</f>
        <v/>
      </c>
      <c r="I22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8" s="13">
        <f t="shared" si="12"/>
        <v>0</v>
      </c>
      <c r="K228" s="12"/>
      <c r="L228" s="13">
        <f>IF(K228="",0,IF(K228&gt;=Config!$B$12,0,IF(K228&gt;Config!$F$14,INDEX(Config!$H$4:$H$5,MATCH(C228,Config!$E$4:$E$5,0))*Config!$F$11,INDEX(Config!$H$4:$H$5,MATCH(C228,Config!$E$4:$E$5,0)))))</f>
        <v>0</v>
      </c>
      <c r="M228" s="13">
        <f>IF(K228="",0,IF(K228&gt;=Config!$B$12,0,IF(K228&gt;=0.96,0,IF(K228&gt;=0.9,Config!$F$12,Config!$F$13))))</f>
        <v>0</v>
      </c>
      <c r="O228" s="11">
        <f>IF(N228="Pass",IFERROR(INDEX(Config!$I$4:$I$5,MATCH(C228,Config!$E$4:$E$5,0)),0),0)</f>
        <v>0</v>
      </c>
      <c r="P228" s="13">
        <f t="shared" si="13"/>
        <v>0</v>
      </c>
      <c r="Q228" s="11" t="str">
        <f t="shared" si="14"/>
        <v/>
      </c>
      <c r="R228" s="11" t="str">
        <f t="shared" si="15"/>
        <v/>
      </c>
    </row>
    <row r="229" spans="1:18" x14ac:dyDescent="0.25">
      <c r="A229" s="10"/>
      <c r="F229" s="11">
        <f>IF(E229="Pass",IFERROR(INDEX(Config!$F$4:$F$5,MATCH(C229,Config!$E$4:$E$5,0)),0),0)</f>
        <v>0</v>
      </c>
      <c r="G229" s="12"/>
      <c r="H229" s="12" t="str">
        <f>IF(C229="Forecasting",IFERROR(INDEX(Config!$B$4:$B$6,MATCH(D229,Config!$A$4:$A$6,0)),""),"")</f>
        <v/>
      </c>
      <c r="I22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29" s="13">
        <f t="shared" si="12"/>
        <v>0</v>
      </c>
      <c r="K229" s="12"/>
      <c r="L229" s="13">
        <f>IF(K229="",0,IF(K229&gt;=Config!$B$12,0,IF(K229&gt;Config!$F$14,INDEX(Config!$H$4:$H$5,MATCH(C229,Config!$E$4:$E$5,0))*Config!$F$11,INDEX(Config!$H$4:$H$5,MATCH(C229,Config!$E$4:$E$5,0)))))</f>
        <v>0</v>
      </c>
      <c r="M229" s="13">
        <f>IF(K229="",0,IF(K229&gt;=Config!$B$12,0,IF(K229&gt;=0.96,0,IF(K229&gt;=0.9,Config!$F$12,Config!$F$13))))</f>
        <v>0</v>
      </c>
      <c r="O229" s="11">
        <f>IF(N229="Pass",IFERROR(INDEX(Config!$I$4:$I$5,MATCH(C229,Config!$E$4:$E$5,0)),0),0)</f>
        <v>0</v>
      </c>
      <c r="P229" s="13">
        <f t="shared" si="13"/>
        <v>0</v>
      </c>
      <c r="Q229" s="11" t="str">
        <f t="shared" si="14"/>
        <v/>
      </c>
      <c r="R229" s="11" t="str">
        <f t="shared" si="15"/>
        <v/>
      </c>
    </row>
    <row r="230" spans="1:18" x14ac:dyDescent="0.25">
      <c r="A230" s="10"/>
      <c r="F230" s="11">
        <f>IF(E230="Pass",IFERROR(INDEX(Config!$F$4:$F$5,MATCH(C230,Config!$E$4:$E$5,0)),0),0)</f>
        <v>0</v>
      </c>
      <c r="G230" s="12"/>
      <c r="H230" s="12" t="str">
        <f>IF(C230="Forecasting",IFERROR(INDEX(Config!$B$4:$B$6,MATCH(D230,Config!$A$4:$A$6,0)),""),"")</f>
        <v/>
      </c>
      <c r="I23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0" s="13">
        <f t="shared" si="12"/>
        <v>0</v>
      </c>
      <c r="K230" s="12"/>
      <c r="L230" s="13">
        <f>IF(K230="",0,IF(K230&gt;=Config!$B$12,0,IF(K230&gt;Config!$F$14,INDEX(Config!$H$4:$H$5,MATCH(C230,Config!$E$4:$E$5,0))*Config!$F$11,INDEX(Config!$H$4:$H$5,MATCH(C230,Config!$E$4:$E$5,0)))))</f>
        <v>0</v>
      </c>
      <c r="M230" s="13">
        <f>IF(K230="",0,IF(K230&gt;=Config!$B$12,0,IF(K230&gt;=0.96,0,IF(K230&gt;=0.9,Config!$F$12,Config!$F$13))))</f>
        <v>0</v>
      </c>
      <c r="O230" s="11">
        <f>IF(N230="Pass",IFERROR(INDEX(Config!$I$4:$I$5,MATCH(C230,Config!$E$4:$E$5,0)),0),0)</f>
        <v>0</v>
      </c>
      <c r="P230" s="13">
        <f t="shared" si="13"/>
        <v>0</v>
      </c>
      <c r="Q230" s="11" t="str">
        <f t="shared" si="14"/>
        <v/>
      </c>
      <c r="R230" s="11" t="str">
        <f t="shared" si="15"/>
        <v/>
      </c>
    </row>
    <row r="231" spans="1:18" x14ac:dyDescent="0.25">
      <c r="A231" s="10"/>
      <c r="F231" s="11">
        <f>IF(E231="Pass",IFERROR(INDEX(Config!$F$4:$F$5,MATCH(C231,Config!$E$4:$E$5,0)),0),0)</f>
        <v>0</v>
      </c>
      <c r="G231" s="12"/>
      <c r="H231" s="12" t="str">
        <f>IF(C231="Forecasting",IFERROR(INDEX(Config!$B$4:$B$6,MATCH(D231,Config!$A$4:$A$6,0)),""),"")</f>
        <v/>
      </c>
      <c r="I23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1" s="13">
        <f t="shared" si="12"/>
        <v>0</v>
      </c>
      <c r="K231" s="12"/>
      <c r="L231" s="13">
        <f>IF(K231="",0,IF(K231&gt;=Config!$B$12,0,IF(K231&gt;Config!$F$14,INDEX(Config!$H$4:$H$5,MATCH(C231,Config!$E$4:$E$5,0))*Config!$F$11,INDEX(Config!$H$4:$H$5,MATCH(C231,Config!$E$4:$E$5,0)))))</f>
        <v>0</v>
      </c>
      <c r="M231" s="13">
        <f>IF(K231="",0,IF(K231&gt;=Config!$B$12,0,IF(K231&gt;=0.96,0,IF(K231&gt;=0.9,Config!$F$12,Config!$F$13))))</f>
        <v>0</v>
      </c>
      <c r="O231" s="11">
        <f>IF(N231="Pass",IFERROR(INDEX(Config!$I$4:$I$5,MATCH(C231,Config!$E$4:$E$5,0)),0),0)</f>
        <v>0</v>
      </c>
      <c r="P231" s="13">
        <f t="shared" si="13"/>
        <v>0</v>
      </c>
      <c r="Q231" s="11" t="str">
        <f t="shared" si="14"/>
        <v/>
      </c>
      <c r="R231" s="11" t="str">
        <f t="shared" si="15"/>
        <v/>
      </c>
    </row>
    <row r="232" spans="1:18" x14ac:dyDescent="0.25">
      <c r="A232" s="10"/>
      <c r="F232" s="11">
        <f>IF(E232="Pass",IFERROR(INDEX(Config!$F$4:$F$5,MATCH(C232,Config!$E$4:$E$5,0)),0),0)</f>
        <v>0</v>
      </c>
      <c r="G232" s="12"/>
      <c r="H232" s="12" t="str">
        <f>IF(C232="Forecasting",IFERROR(INDEX(Config!$B$4:$B$6,MATCH(D232,Config!$A$4:$A$6,0)),""),"")</f>
        <v/>
      </c>
      <c r="I23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2" s="13">
        <f t="shared" si="12"/>
        <v>0</v>
      </c>
      <c r="K232" s="12"/>
      <c r="L232" s="13">
        <f>IF(K232="",0,IF(K232&gt;=Config!$B$12,0,IF(K232&gt;Config!$F$14,INDEX(Config!$H$4:$H$5,MATCH(C232,Config!$E$4:$E$5,0))*Config!$F$11,INDEX(Config!$H$4:$H$5,MATCH(C232,Config!$E$4:$E$5,0)))))</f>
        <v>0</v>
      </c>
      <c r="M232" s="13">
        <f>IF(K232="",0,IF(K232&gt;=Config!$B$12,0,IF(K232&gt;=0.96,0,IF(K232&gt;=0.9,Config!$F$12,Config!$F$13))))</f>
        <v>0</v>
      </c>
      <c r="O232" s="11">
        <f>IF(N232="Pass",IFERROR(INDEX(Config!$I$4:$I$5,MATCH(C232,Config!$E$4:$E$5,0)),0),0)</f>
        <v>0</v>
      </c>
      <c r="P232" s="13">
        <f t="shared" si="13"/>
        <v>0</v>
      </c>
      <c r="Q232" s="11" t="str">
        <f t="shared" si="14"/>
        <v/>
      </c>
      <c r="R232" s="11" t="str">
        <f t="shared" si="15"/>
        <v/>
      </c>
    </row>
    <row r="233" spans="1:18" x14ac:dyDescent="0.25">
      <c r="A233" s="10"/>
      <c r="F233" s="11">
        <f>IF(E233="Pass",IFERROR(INDEX(Config!$F$4:$F$5,MATCH(C233,Config!$E$4:$E$5,0)),0),0)</f>
        <v>0</v>
      </c>
      <c r="G233" s="12"/>
      <c r="H233" s="12" t="str">
        <f>IF(C233="Forecasting",IFERROR(INDEX(Config!$B$4:$B$6,MATCH(D233,Config!$A$4:$A$6,0)),""),"")</f>
        <v/>
      </c>
      <c r="I23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3" s="13">
        <f t="shared" si="12"/>
        <v>0</v>
      </c>
      <c r="K233" s="12"/>
      <c r="L233" s="13">
        <f>IF(K233="",0,IF(K233&gt;=Config!$B$12,0,IF(K233&gt;Config!$F$14,INDEX(Config!$H$4:$H$5,MATCH(C233,Config!$E$4:$E$5,0))*Config!$F$11,INDEX(Config!$H$4:$H$5,MATCH(C233,Config!$E$4:$E$5,0)))))</f>
        <v>0</v>
      </c>
      <c r="M233" s="13">
        <f>IF(K233="",0,IF(K233&gt;=Config!$B$12,0,IF(K233&gt;=0.96,0,IF(K233&gt;=0.9,Config!$F$12,Config!$F$13))))</f>
        <v>0</v>
      </c>
      <c r="O233" s="11">
        <f>IF(N233="Pass",IFERROR(INDEX(Config!$I$4:$I$5,MATCH(C233,Config!$E$4:$E$5,0)),0),0)</f>
        <v>0</v>
      </c>
      <c r="P233" s="13">
        <f t="shared" si="13"/>
        <v>0</v>
      </c>
      <c r="Q233" s="11" t="str">
        <f t="shared" si="14"/>
        <v/>
      </c>
      <c r="R233" s="11" t="str">
        <f t="shared" si="15"/>
        <v/>
      </c>
    </row>
    <row r="234" spans="1:18" x14ac:dyDescent="0.25">
      <c r="A234" s="10"/>
      <c r="F234" s="11">
        <f>IF(E234="Pass",IFERROR(INDEX(Config!$F$4:$F$5,MATCH(C234,Config!$E$4:$E$5,0)),0),0)</f>
        <v>0</v>
      </c>
      <c r="G234" s="12"/>
      <c r="H234" s="12" t="str">
        <f>IF(C234="Forecasting",IFERROR(INDEX(Config!$B$4:$B$6,MATCH(D234,Config!$A$4:$A$6,0)),""),"")</f>
        <v/>
      </c>
      <c r="I23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4" s="13">
        <f t="shared" si="12"/>
        <v>0</v>
      </c>
      <c r="K234" s="12"/>
      <c r="L234" s="13">
        <f>IF(K234="",0,IF(K234&gt;=Config!$B$12,0,IF(K234&gt;Config!$F$14,INDEX(Config!$H$4:$H$5,MATCH(C234,Config!$E$4:$E$5,0))*Config!$F$11,INDEX(Config!$H$4:$H$5,MATCH(C234,Config!$E$4:$E$5,0)))))</f>
        <v>0</v>
      </c>
      <c r="M234" s="13">
        <f>IF(K234="",0,IF(K234&gt;=Config!$B$12,0,IF(K234&gt;=0.96,0,IF(K234&gt;=0.9,Config!$F$12,Config!$F$13))))</f>
        <v>0</v>
      </c>
      <c r="O234" s="11">
        <f>IF(N234="Pass",IFERROR(INDEX(Config!$I$4:$I$5,MATCH(C234,Config!$E$4:$E$5,0)),0),0)</f>
        <v>0</v>
      </c>
      <c r="P234" s="13">
        <f t="shared" si="13"/>
        <v>0</v>
      </c>
      <c r="Q234" s="11" t="str">
        <f t="shared" si="14"/>
        <v/>
      </c>
      <c r="R234" s="11" t="str">
        <f t="shared" si="15"/>
        <v/>
      </c>
    </row>
    <row r="235" spans="1:18" x14ac:dyDescent="0.25">
      <c r="A235" s="10"/>
      <c r="F235" s="11">
        <f>IF(E235="Pass",IFERROR(INDEX(Config!$F$4:$F$5,MATCH(C235,Config!$E$4:$E$5,0)),0),0)</f>
        <v>0</v>
      </c>
      <c r="G235" s="12"/>
      <c r="H235" s="12" t="str">
        <f>IF(C235="Forecasting",IFERROR(INDEX(Config!$B$4:$B$6,MATCH(D235,Config!$A$4:$A$6,0)),""),"")</f>
        <v/>
      </c>
      <c r="I23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5" s="13">
        <f t="shared" si="12"/>
        <v>0</v>
      </c>
      <c r="K235" s="12"/>
      <c r="L235" s="13">
        <f>IF(K235="",0,IF(K235&gt;=Config!$B$12,0,IF(K235&gt;Config!$F$14,INDEX(Config!$H$4:$H$5,MATCH(C235,Config!$E$4:$E$5,0))*Config!$F$11,INDEX(Config!$H$4:$H$5,MATCH(C235,Config!$E$4:$E$5,0)))))</f>
        <v>0</v>
      </c>
      <c r="M235" s="13">
        <f>IF(K235="",0,IF(K235&gt;=Config!$B$12,0,IF(K235&gt;=0.96,0,IF(K235&gt;=0.9,Config!$F$12,Config!$F$13))))</f>
        <v>0</v>
      </c>
      <c r="O235" s="11">
        <f>IF(N235="Pass",IFERROR(INDEX(Config!$I$4:$I$5,MATCH(C235,Config!$E$4:$E$5,0)),0),0)</f>
        <v>0</v>
      </c>
      <c r="P235" s="13">
        <f t="shared" si="13"/>
        <v>0</v>
      </c>
      <c r="Q235" s="11" t="str">
        <f t="shared" si="14"/>
        <v/>
      </c>
      <c r="R235" s="11" t="str">
        <f t="shared" si="15"/>
        <v/>
      </c>
    </row>
    <row r="236" spans="1:18" x14ac:dyDescent="0.25">
      <c r="A236" s="10"/>
      <c r="F236" s="11">
        <f>IF(E236="Pass",IFERROR(INDEX(Config!$F$4:$F$5,MATCH(C236,Config!$E$4:$E$5,0)),0),0)</f>
        <v>0</v>
      </c>
      <c r="G236" s="12"/>
      <c r="H236" s="12" t="str">
        <f>IF(C236="Forecasting",IFERROR(INDEX(Config!$B$4:$B$6,MATCH(D236,Config!$A$4:$A$6,0)),""),"")</f>
        <v/>
      </c>
      <c r="I23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6" s="13">
        <f t="shared" si="12"/>
        <v>0</v>
      </c>
      <c r="K236" s="12"/>
      <c r="L236" s="13">
        <f>IF(K236="",0,IF(K236&gt;=Config!$B$12,0,IF(K236&gt;Config!$F$14,INDEX(Config!$H$4:$H$5,MATCH(C236,Config!$E$4:$E$5,0))*Config!$F$11,INDEX(Config!$H$4:$H$5,MATCH(C236,Config!$E$4:$E$5,0)))))</f>
        <v>0</v>
      </c>
      <c r="M236" s="13">
        <f>IF(K236="",0,IF(K236&gt;=Config!$B$12,0,IF(K236&gt;=0.96,0,IF(K236&gt;=0.9,Config!$F$12,Config!$F$13))))</f>
        <v>0</v>
      </c>
      <c r="O236" s="11">
        <f>IF(N236="Pass",IFERROR(INDEX(Config!$I$4:$I$5,MATCH(C236,Config!$E$4:$E$5,0)),0),0)</f>
        <v>0</v>
      </c>
      <c r="P236" s="13">
        <f t="shared" si="13"/>
        <v>0</v>
      </c>
      <c r="Q236" s="11" t="str">
        <f t="shared" si="14"/>
        <v/>
      </c>
      <c r="R236" s="11" t="str">
        <f t="shared" si="15"/>
        <v/>
      </c>
    </row>
    <row r="237" spans="1:18" x14ac:dyDescent="0.25">
      <c r="A237" s="10"/>
      <c r="F237" s="11">
        <f>IF(E237="Pass",IFERROR(INDEX(Config!$F$4:$F$5,MATCH(C237,Config!$E$4:$E$5,0)),0),0)</f>
        <v>0</v>
      </c>
      <c r="G237" s="12"/>
      <c r="H237" s="12" t="str">
        <f>IF(C237="Forecasting",IFERROR(INDEX(Config!$B$4:$B$6,MATCH(D237,Config!$A$4:$A$6,0)),""),"")</f>
        <v/>
      </c>
      <c r="I23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7" s="13">
        <f t="shared" si="12"/>
        <v>0</v>
      </c>
      <c r="K237" s="12"/>
      <c r="L237" s="13">
        <f>IF(K237="",0,IF(K237&gt;=Config!$B$12,0,IF(K237&gt;Config!$F$14,INDEX(Config!$H$4:$H$5,MATCH(C237,Config!$E$4:$E$5,0))*Config!$F$11,INDEX(Config!$H$4:$H$5,MATCH(C237,Config!$E$4:$E$5,0)))))</f>
        <v>0</v>
      </c>
      <c r="M237" s="13">
        <f>IF(K237="",0,IF(K237&gt;=Config!$B$12,0,IF(K237&gt;=0.96,0,IF(K237&gt;=0.9,Config!$F$12,Config!$F$13))))</f>
        <v>0</v>
      </c>
      <c r="O237" s="11">
        <f>IF(N237="Pass",IFERROR(INDEX(Config!$I$4:$I$5,MATCH(C237,Config!$E$4:$E$5,0)),0),0)</f>
        <v>0</v>
      </c>
      <c r="P237" s="13">
        <f t="shared" si="13"/>
        <v>0</v>
      </c>
      <c r="Q237" s="11" t="str">
        <f t="shared" si="14"/>
        <v/>
      </c>
      <c r="R237" s="11" t="str">
        <f t="shared" si="15"/>
        <v/>
      </c>
    </row>
    <row r="238" spans="1:18" x14ac:dyDescent="0.25">
      <c r="A238" s="10"/>
      <c r="F238" s="11">
        <f>IF(E238="Pass",IFERROR(INDEX(Config!$F$4:$F$5,MATCH(C238,Config!$E$4:$E$5,0)),0),0)</f>
        <v>0</v>
      </c>
      <c r="G238" s="12"/>
      <c r="H238" s="12" t="str">
        <f>IF(C238="Forecasting",IFERROR(INDEX(Config!$B$4:$B$6,MATCH(D238,Config!$A$4:$A$6,0)),""),"")</f>
        <v/>
      </c>
      <c r="I23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8" s="13">
        <f t="shared" si="12"/>
        <v>0</v>
      </c>
      <c r="K238" s="12"/>
      <c r="L238" s="13">
        <f>IF(K238="",0,IF(K238&gt;=Config!$B$12,0,IF(K238&gt;Config!$F$14,INDEX(Config!$H$4:$H$5,MATCH(C238,Config!$E$4:$E$5,0))*Config!$F$11,INDEX(Config!$H$4:$H$5,MATCH(C238,Config!$E$4:$E$5,0)))))</f>
        <v>0</v>
      </c>
      <c r="M238" s="13">
        <f>IF(K238="",0,IF(K238&gt;=Config!$B$12,0,IF(K238&gt;=0.96,0,IF(K238&gt;=0.9,Config!$F$12,Config!$F$13))))</f>
        <v>0</v>
      </c>
      <c r="O238" s="11">
        <f>IF(N238="Pass",IFERROR(INDEX(Config!$I$4:$I$5,MATCH(C238,Config!$E$4:$E$5,0)),0),0)</f>
        <v>0</v>
      </c>
      <c r="P238" s="13">
        <f t="shared" si="13"/>
        <v>0</v>
      </c>
      <c r="Q238" s="11" t="str">
        <f t="shared" si="14"/>
        <v/>
      </c>
      <c r="R238" s="11" t="str">
        <f t="shared" si="15"/>
        <v/>
      </c>
    </row>
    <row r="239" spans="1:18" x14ac:dyDescent="0.25">
      <c r="A239" s="10"/>
      <c r="F239" s="11">
        <f>IF(E239="Pass",IFERROR(INDEX(Config!$F$4:$F$5,MATCH(C239,Config!$E$4:$E$5,0)),0),0)</f>
        <v>0</v>
      </c>
      <c r="G239" s="12"/>
      <c r="H239" s="12" t="str">
        <f>IF(C239="Forecasting",IFERROR(INDEX(Config!$B$4:$B$6,MATCH(D239,Config!$A$4:$A$6,0)),""),"")</f>
        <v/>
      </c>
      <c r="I23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39" s="13">
        <f t="shared" si="12"/>
        <v>0</v>
      </c>
      <c r="K239" s="12"/>
      <c r="L239" s="13">
        <f>IF(K239="",0,IF(K239&gt;=Config!$B$12,0,IF(K239&gt;Config!$F$14,INDEX(Config!$H$4:$H$5,MATCH(C239,Config!$E$4:$E$5,0))*Config!$F$11,INDEX(Config!$H$4:$H$5,MATCH(C239,Config!$E$4:$E$5,0)))))</f>
        <v>0</v>
      </c>
      <c r="M239" s="13">
        <f>IF(K239="",0,IF(K239&gt;=Config!$B$12,0,IF(K239&gt;=0.96,0,IF(K239&gt;=0.9,Config!$F$12,Config!$F$13))))</f>
        <v>0</v>
      </c>
      <c r="O239" s="11">
        <f>IF(N239="Pass",IFERROR(INDEX(Config!$I$4:$I$5,MATCH(C239,Config!$E$4:$E$5,0)),0),0)</f>
        <v>0</v>
      </c>
      <c r="P239" s="13">
        <f t="shared" si="13"/>
        <v>0</v>
      </c>
      <c r="Q239" s="11" t="str">
        <f t="shared" si="14"/>
        <v/>
      </c>
      <c r="R239" s="11" t="str">
        <f t="shared" si="15"/>
        <v/>
      </c>
    </row>
    <row r="240" spans="1:18" x14ac:dyDescent="0.25">
      <c r="A240" s="10"/>
      <c r="F240" s="11">
        <f>IF(E240="Pass",IFERROR(INDEX(Config!$F$4:$F$5,MATCH(C240,Config!$E$4:$E$5,0)),0),0)</f>
        <v>0</v>
      </c>
      <c r="G240" s="12"/>
      <c r="H240" s="12" t="str">
        <f>IF(C240="Forecasting",IFERROR(INDEX(Config!$B$4:$B$6,MATCH(D240,Config!$A$4:$A$6,0)),""),"")</f>
        <v/>
      </c>
      <c r="I24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0" s="13">
        <f t="shared" si="12"/>
        <v>0</v>
      </c>
      <c r="K240" s="12"/>
      <c r="L240" s="13">
        <f>IF(K240="",0,IF(K240&gt;=Config!$B$12,0,IF(K240&gt;Config!$F$14,INDEX(Config!$H$4:$H$5,MATCH(C240,Config!$E$4:$E$5,0))*Config!$F$11,INDEX(Config!$H$4:$H$5,MATCH(C240,Config!$E$4:$E$5,0)))))</f>
        <v>0</v>
      </c>
      <c r="M240" s="13">
        <f>IF(K240="",0,IF(K240&gt;=Config!$B$12,0,IF(K240&gt;=0.96,0,IF(K240&gt;=0.9,Config!$F$12,Config!$F$13))))</f>
        <v>0</v>
      </c>
      <c r="O240" s="11">
        <f>IF(N240="Pass",IFERROR(INDEX(Config!$I$4:$I$5,MATCH(C240,Config!$E$4:$E$5,0)),0),0)</f>
        <v>0</v>
      </c>
      <c r="P240" s="13">
        <f t="shared" si="13"/>
        <v>0</v>
      </c>
      <c r="Q240" s="11" t="str">
        <f t="shared" si="14"/>
        <v/>
      </c>
      <c r="R240" s="11" t="str">
        <f t="shared" si="15"/>
        <v/>
      </c>
    </row>
    <row r="241" spans="1:18" x14ac:dyDescent="0.25">
      <c r="A241" s="10"/>
      <c r="F241" s="11">
        <f>IF(E241="Pass",IFERROR(INDEX(Config!$F$4:$F$5,MATCH(C241,Config!$E$4:$E$5,0)),0),0)</f>
        <v>0</v>
      </c>
      <c r="G241" s="12"/>
      <c r="H241" s="12" t="str">
        <f>IF(C241="Forecasting",IFERROR(INDEX(Config!$B$4:$B$6,MATCH(D241,Config!$A$4:$A$6,0)),""),"")</f>
        <v/>
      </c>
      <c r="I24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1" s="13">
        <f t="shared" si="12"/>
        <v>0</v>
      </c>
      <c r="K241" s="12"/>
      <c r="L241" s="13">
        <f>IF(K241="",0,IF(K241&gt;=Config!$B$12,0,IF(K241&gt;Config!$F$14,INDEX(Config!$H$4:$H$5,MATCH(C241,Config!$E$4:$E$5,0))*Config!$F$11,INDEX(Config!$H$4:$H$5,MATCH(C241,Config!$E$4:$E$5,0)))))</f>
        <v>0</v>
      </c>
      <c r="M241" s="13">
        <f>IF(K241="",0,IF(K241&gt;=Config!$B$12,0,IF(K241&gt;=0.96,0,IF(K241&gt;=0.9,Config!$F$12,Config!$F$13))))</f>
        <v>0</v>
      </c>
      <c r="O241" s="11">
        <f>IF(N241="Pass",IFERROR(INDEX(Config!$I$4:$I$5,MATCH(C241,Config!$E$4:$E$5,0)),0),0)</f>
        <v>0</v>
      </c>
      <c r="P241" s="13">
        <f t="shared" si="13"/>
        <v>0</v>
      </c>
      <c r="Q241" s="11" t="str">
        <f t="shared" si="14"/>
        <v/>
      </c>
      <c r="R241" s="11" t="str">
        <f t="shared" si="15"/>
        <v/>
      </c>
    </row>
    <row r="242" spans="1:18" x14ac:dyDescent="0.25">
      <c r="A242" s="10"/>
      <c r="F242" s="11">
        <f>IF(E242="Pass",IFERROR(INDEX(Config!$F$4:$F$5,MATCH(C242,Config!$E$4:$E$5,0)),0),0)</f>
        <v>0</v>
      </c>
      <c r="G242" s="12"/>
      <c r="H242" s="12" t="str">
        <f>IF(C242="Forecasting",IFERROR(INDEX(Config!$B$4:$B$6,MATCH(D242,Config!$A$4:$A$6,0)),""),"")</f>
        <v/>
      </c>
      <c r="I24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2" s="13">
        <f t="shared" si="12"/>
        <v>0</v>
      </c>
      <c r="K242" s="12"/>
      <c r="L242" s="13">
        <f>IF(K242="",0,IF(K242&gt;=Config!$B$12,0,IF(K242&gt;Config!$F$14,INDEX(Config!$H$4:$H$5,MATCH(C242,Config!$E$4:$E$5,0))*Config!$F$11,INDEX(Config!$H$4:$H$5,MATCH(C242,Config!$E$4:$E$5,0)))))</f>
        <v>0</v>
      </c>
      <c r="M242" s="13">
        <f>IF(K242="",0,IF(K242&gt;=Config!$B$12,0,IF(K242&gt;=0.96,0,IF(K242&gt;=0.9,Config!$F$12,Config!$F$13))))</f>
        <v>0</v>
      </c>
      <c r="O242" s="11">
        <f>IF(N242="Pass",IFERROR(INDEX(Config!$I$4:$I$5,MATCH(C242,Config!$E$4:$E$5,0)),0),0)</f>
        <v>0</v>
      </c>
      <c r="P242" s="13">
        <f t="shared" si="13"/>
        <v>0</v>
      </c>
      <c r="Q242" s="11" t="str">
        <f t="shared" si="14"/>
        <v/>
      </c>
      <c r="R242" s="11" t="str">
        <f t="shared" si="15"/>
        <v/>
      </c>
    </row>
    <row r="243" spans="1:18" x14ac:dyDescent="0.25">
      <c r="A243" s="10"/>
      <c r="F243" s="11">
        <f>IF(E243="Pass",IFERROR(INDEX(Config!$F$4:$F$5,MATCH(C243,Config!$E$4:$E$5,0)),0),0)</f>
        <v>0</v>
      </c>
      <c r="G243" s="12"/>
      <c r="H243" s="12" t="str">
        <f>IF(C243="Forecasting",IFERROR(INDEX(Config!$B$4:$B$6,MATCH(D243,Config!$A$4:$A$6,0)),""),"")</f>
        <v/>
      </c>
      <c r="I24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3" s="13">
        <f t="shared" si="12"/>
        <v>0</v>
      </c>
      <c r="K243" s="12"/>
      <c r="L243" s="13">
        <f>IF(K243="",0,IF(K243&gt;=Config!$B$12,0,IF(K243&gt;Config!$F$14,INDEX(Config!$H$4:$H$5,MATCH(C243,Config!$E$4:$E$5,0))*Config!$F$11,INDEX(Config!$H$4:$H$5,MATCH(C243,Config!$E$4:$E$5,0)))))</f>
        <v>0</v>
      </c>
      <c r="M243" s="13">
        <f>IF(K243="",0,IF(K243&gt;=Config!$B$12,0,IF(K243&gt;=0.96,0,IF(K243&gt;=0.9,Config!$F$12,Config!$F$13))))</f>
        <v>0</v>
      </c>
      <c r="O243" s="11">
        <f>IF(N243="Pass",IFERROR(INDEX(Config!$I$4:$I$5,MATCH(C243,Config!$E$4:$E$5,0)),0),0)</f>
        <v>0</v>
      </c>
      <c r="P243" s="13">
        <f t="shared" si="13"/>
        <v>0</v>
      </c>
      <c r="Q243" s="11" t="str">
        <f t="shared" si="14"/>
        <v/>
      </c>
      <c r="R243" s="11" t="str">
        <f t="shared" si="15"/>
        <v/>
      </c>
    </row>
    <row r="244" spans="1:18" x14ac:dyDescent="0.25">
      <c r="A244" s="10"/>
      <c r="F244" s="11">
        <f>IF(E244="Pass",IFERROR(INDEX(Config!$F$4:$F$5,MATCH(C244,Config!$E$4:$E$5,0)),0),0)</f>
        <v>0</v>
      </c>
      <c r="G244" s="12"/>
      <c r="H244" s="12" t="str">
        <f>IF(C244="Forecasting",IFERROR(INDEX(Config!$B$4:$B$6,MATCH(D244,Config!$A$4:$A$6,0)),""),"")</f>
        <v/>
      </c>
      <c r="I24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4" s="13">
        <f t="shared" si="12"/>
        <v>0</v>
      </c>
      <c r="K244" s="12"/>
      <c r="L244" s="13">
        <f>IF(K244="",0,IF(K244&gt;=Config!$B$12,0,IF(K244&gt;Config!$F$14,INDEX(Config!$H$4:$H$5,MATCH(C244,Config!$E$4:$E$5,0))*Config!$F$11,INDEX(Config!$H$4:$H$5,MATCH(C244,Config!$E$4:$E$5,0)))))</f>
        <v>0</v>
      </c>
      <c r="M244" s="13">
        <f>IF(K244="",0,IF(K244&gt;=Config!$B$12,0,IF(K244&gt;=0.96,0,IF(K244&gt;=0.9,Config!$F$12,Config!$F$13))))</f>
        <v>0</v>
      </c>
      <c r="O244" s="11">
        <f>IF(N244="Pass",IFERROR(INDEX(Config!$I$4:$I$5,MATCH(C244,Config!$E$4:$E$5,0)),0),0)</f>
        <v>0</v>
      </c>
      <c r="P244" s="13">
        <f t="shared" si="13"/>
        <v>0</v>
      </c>
      <c r="Q244" s="11" t="str">
        <f t="shared" si="14"/>
        <v/>
      </c>
      <c r="R244" s="11" t="str">
        <f t="shared" si="15"/>
        <v/>
      </c>
    </row>
    <row r="245" spans="1:18" x14ac:dyDescent="0.25">
      <c r="A245" s="10"/>
      <c r="F245" s="11">
        <f>IF(E245="Pass",IFERROR(INDEX(Config!$F$4:$F$5,MATCH(C245,Config!$E$4:$E$5,0)),0),0)</f>
        <v>0</v>
      </c>
      <c r="G245" s="12"/>
      <c r="H245" s="12" t="str">
        <f>IF(C245="Forecasting",IFERROR(INDEX(Config!$B$4:$B$6,MATCH(D245,Config!$A$4:$A$6,0)),""),"")</f>
        <v/>
      </c>
      <c r="I24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5" s="13">
        <f t="shared" si="12"/>
        <v>0</v>
      </c>
      <c r="K245" s="12"/>
      <c r="L245" s="13">
        <f>IF(K245="",0,IF(K245&gt;=Config!$B$12,0,IF(K245&gt;Config!$F$14,INDEX(Config!$H$4:$H$5,MATCH(C245,Config!$E$4:$E$5,0))*Config!$F$11,INDEX(Config!$H$4:$H$5,MATCH(C245,Config!$E$4:$E$5,0)))))</f>
        <v>0</v>
      </c>
      <c r="M245" s="13">
        <f>IF(K245="",0,IF(K245&gt;=Config!$B$12,0,IF(K245&gt;=0.96,0,IF(K245&gt;=0.9,Config!$F$12,Config!$F$13))))</f>
        <v>0</v>
      </c>
      <c r="O245" s="11">
        <f>IF(N245="Pass",IFERROR(INDEX(Config!$I$4:$I$5,MATCH(C245,Config!$E$4:$E$5,0)),0),0)</f>
        <v>0</v>
      </c>
      <c r="P245" s="13">
        <f t="shared" si="13"/>
        <v>0</v>
      </c>
      <c r="Q245" s="11" t="str">
        <f t="shared" si="14"/>
        <v/>
      </c>
      <c r="R245" s="11" t="str">
        <f t="shared" si="15"/>
        <v/>
      </c>
    </row>
    <row r="246" spans="1:18" x14ac:dyDescent="0.25">
      <c r="A246" s="10"/>
      <c r="F246" s="11">
        <f>IF(E246="Pass",IFERROR(INDEX(Config!$F$4:$F$5,MATCH(C246,Config!$E$4:$E$5,0)),0),0)</f>
        <v>0</v>
      </c>
      <c r="G246" s="12"/>
      <c r="H246" s="12" t="str">
        <f>IF(C246="Forecasting",IFERROR(INDEX(Config!$B$4:$B$6,MATCH(D246,Config!$A$4:$A$6,0)),""),"")</f>
        <v/>
      </c>
      <c r="I24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6" s="13">
        <f t="shared" si="12"/>
        <v>0</v>
      </c>
      <c r="K246" s="12"/>
      <c r="L246" s="13">
        <f>IF(K246="",0,IF(K246&gt;=Config!$B$12,0,IF(K246&gt;Config!$F$14,INDEX(Config!$H$4:$H$5,MATCH(C246,Config!$E$4:$E$5,0))*Config!$F$11,INDEX(Config!$H$4:$H$5,MATCH(C246,Config!$E$4:$E$5,0)))))</f>
        <v>0</v>
      </c>
      <c r="M246" s="13">
        <f>IF(K246="",0,IF(K246&gt;=Config!$B$12,0,IF(K246&gt;=0.96,0,IF(K246&gt;=0.9,Config!$F$12,Config!$F$13))))</f>
        <v>0</v>
      </c>
      <c r="O246" s="11">
        <f>IF(N246="Pass",IFERROR(INDEX(Config!$I$4:$I$5,MATCH(C246,Config!$E$4:$E$5,0)),0),0)</f>
        <v>0</v>
      </c>
      <c r="P246" s="13">
        <f t="shared" si="13"/>
        <v>0</v>
      </c>
      <c r="Q246" s="11" t="str">
        <f t="shared" si="14"/>
        <v/>
      </c>
      <c r="R246" s="11" t="str">
        <f t="shared" si="15"/>
        <v/>
      </c>
    </row>
    <row r="247" spans="1:18" x14ac:dyDescent="0.25">
      <c r="A247" s="10"/>
      <c r="F247" s="11">
        <f>IF(E247="Pass",IFERROR(INDEX(Config!$F$4:$F$5,MATCH(C247,Config!$E$4:$E$5,0)),0),0)</f>
        <v>0</v>
      </c>
      <c r="G247" s="12"/>
      <c r="H247" s="12" t="str">
        <f>IF(C247="Forecasting",IFERROR(INDEX(Config!$B$4:$B$6,MATCH(D247,Config!$A$4:$A$6,0)),""),"")</f>
        <v/>
      </c>
      <c r="I24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7" s="13">
        <f t="shared" si="12"/>
        <v>0</v>
      </c>
      <c r="K247" s="12"/>
      <c r="L247" s="13">
        <f>IF(K247="",0,IF(K247&gt;=Config!$B$12,0,IF(K247&gt;Config!$F$14,INDEX(Config!$H$4:$H$5,MATCH(C247,Config!$E$4:$E$5,0))*Config!$F$11,INDEX(Config!$H$4:$H$5,MATCH(C247,Config!$E$4:$E$5,0)))))</f>
        <v>0</v>
      </c>
      <c r="M247" s="13">
        <f>IF(K247="",0,IF(K247&gt;=Config!$B$12,0,IF(K247&gt;=0.96,0,IF(K247&gt;=0.9,Config!$F$12,Config!$F$13))))</f>
        <v>0</v>
      </c>
      <c r="O247" s="11">
        <f>IF(N247="Pass",IFERROR(INDEX(Config!$I$4:$I$5,MATCH(C247,Config!$E$4:$E$5,0)),0),0)</f>
        <v>0</v>
      </c>
      <c r="P247" s="13">
        <f t="shared" si="13"/>
        <v>0</v>
      </c>
      <c r="Q247" s="11" t="str">
        <f t="shared" si="14"/>
        <v/>
      </c>
      <c r="R247" s="11" t="str">
        <f t="shared" si="15"/>
        <v/>
      </c>
    </row>
    <row r="248" spans="1:18" x14ac:dyDescent="0.25">
      <c r="A248" s="10"/>
      <c r="F248" s="11">
        <f>IF(E248="Pass",IFERROR(INDEX(Config!$F$4:$F$5,MATCH(C248,Config!$E$4:$E$5,0)),0),0)</f>
        <v>0</v>
      </c>
      <c r="G248" s="12"/>
      <c r="H248" s="12" t="str">
        <f>IF(C248="Forecasting",IFERROR(INDEX(Config!$B$4:$B$6,MATCH(D248,Config!$A$4:$A$6,0)),""),"")</f>
        <v/>
      </c>
      <c r="I24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8" s="13">
        <f t="shared" si="12"/>
        <v>0</v>
      </c>
      <c r="K248" s="12"/>
      <c r="L248" s="13">
        <f>IF(K248="",0,IF(K248&gt;=Config!$B$12,0,IF(K248&gt;Config!$F$14,INDEX(Config!$H$4:$H$5,MATCH(C248,Config!$E$4:$E$5,0))*Config!$F$11,INDEX(Config!$H$4:$H$5,MATCH(C248,Config!$E$4:$E$5,0)))))</f>
        <v>0</v>
      </c>
      <c r="M248" s="13">
        <f>IF(K248="",0,IF(K248&gt;=Config!$B$12,0,IF(K248&gt;=0.96,0,IF(K248&gt;=0.9,Config!$F$12,Config!$F$13))))</f>
        <v>0</v>
      </c>
      <c r="O248" s="11">
        <f>IF(N248="Pass",IFERROR(INDEX(Config!$I$4:$I$5,MATCH(C248,Config!$E$4:$E$5,0)),0),0)</f>
        <v>0</v>
      </c>
      <c r="P248" s="13">
        <f t="shared" si="13"/>
        <v>0</v>
      </c>
      <c r="Q248" s="11" t="str">
        <f t="shared" si="14"/>
        <v/>
      </c>
      <c r="R248" s="11" t="str">
        <f t="shared" si="15"/>
        <v/>
      </c>
    </row>
    <row r="249" spans="1:18" x14ac:dyDescent="0.25">
      <c r="A249" s="10"/>
      <c r="F249" s="11">
        <f>IF(E249="Pass",IFERROR(INDEX(Config!$F$4:$F$5,MATCH(C249,Config!$E$4:$E$5,0)),0),0)</f>
        <v>0</v>
      </c>
      <c r="G249" s="12"/>
      <c r="H249" s="12" t="str">
        <f>IF(C249="Forecasting",IFERROR(INDEX(Config!$B$4:$B$6,MATCH(D249,Config!$A$4:$A$6,0)),""),"")</f>
        <v/>
      </c>
      <c r="I24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49" s="13">
        <f t="shared" si="12"/>
        <v>0</v>
      </c>
      <c r="K249" s="12"/>
      <c r="L249" s="13">
        <f>IF(K249="",0,IF(K249&gt;=Config!$B$12,0,IF(K249&gt;Config!$F$14,INDEX(Config!$H$4:$H$5,MATCH(C249,Config!$E$4:$E$5,0))*Config!$F$11,INDEX(Config!$H$4:$H$5,MATCH(C249,Config!$E$4:$E$5,0)))))</f>
        <v>0</v>
      </c>
      <c r="M249" s="13">
        <f>IF(K249="",0,IF(K249&gt;=Config!$B$12,0,IF(K249&gt;=0.96,0,IF(K249&gt;=0.9,Config!$F$12,Config!$F$13))))</f>
        <v>0</v>
      </c>
      <c r="O249" s="11">
        <f>IF(N249="Pass",IFERROR(INDEX(Config!$I$4:$I$5,MATCH(C249,Config!$E$4:$E$5,0)),0),0)</f>
        <v>0</v>
      </c>
      <c r="P249" s="13">
        <f t="shared" si="13"/>
        <v>0</v>
      </c>
      <c r="Q249" s="11" t="str">
        <f t="shared" si="14"/>
        <v/>
      </c>
      <c r="R249" s="11" t="str">
        <f t="shared" si="15"/>
        <v/>
      </c>
    </row>
    <row r="250" spans="1:18" x14ac:dyDescent="0.25">
      <c r="A250" s="10"/>
      <c r="F250" s="11">
        <f>IF(E250="Pass",IFERROR(INDEX(Config!$F$4:$F$5,MATCH(C250,Config!$E$4:$E$5,0)),0),0)</f>
        <v>0</v>
      </c>
      <c r="G250" s="12"/>
      <c r="H250" s="12" t="str">
        <f>IF(C250="Forecasting",IFERROR(INDEX(Config!$B$4:$B$6,MATCH(D250,Config!$A$4:$A$6,0)),""),"")</f>
        <v/>
      </c>
      <c r="I25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0" s="13">
        <f t="shared" si="12"/>
        <v>0</v>
      </c>
      <c r="K250" s="12"/>
      <c r="L250" s="13">
        <f>IF(K250="",0,IF(K250&gt;=Config!$B$12,0,IF(K250&gt;Config!$F$14,INDEX(Config!$H$4:$H$5,MATCH(C250,Config!$E$4:$E$5,0))*Config!$F$11,INDEX(Config!$H$4:$H$5,MATCH(C250,Config!$E$4:$E$5,0)))))</f>
        <v>0</v>
      </c>
      <c r="M250" s="13">
        <f>IF(K250="",0,IF(K250&gt;=Config!$B$12,0,IF(K250&gt;=0.96,0,IF(K250&gt;=0.9,Config!$F$12,Config!$F$13))))</f>
        <v>0</v>
      </c>
      <c r="O250" s="11">
        <f>IF(N250="Pass",IFERROR(INDEX(Config!$I$4:$I$5,MATCH(C250,Config!$E$4:$E$5,0)),0),0)</f>
        <v>0</v>
      </c>
      <c r="P250" s="13">
        <f t="shared" si="13"/>
        <v>0</v>
      </c>
      <c r="Q250" s="11" t="str">
        <f t="shared" si="14"/>
        <v/>
      </c>
      <c r="R250" s="11" t="str">
        <f t="shared" si="15"/>
        <v/>
      </c>
    </row>
    <row r="251" spans="1:18" x14ac:dyDescent="0.25">
      <c r="A251" s="10"/>
      <c r="F251" s="11">
        <f>IF(E251="Pass",IFERROR(INDEX(Config!$F$4:$F$5,MATCH(C251,Config!$E$4:$E$5,0)),0),0)</f>
        <v>0</v>
      </c>
      <c r="G251" s="12"/>
      <c r="H251" s="12" t="str">
        <f>IF(C251="Forecasting",IFERROR(INDEX(Config!$B$4:$B$6,MATCH(D251,Config!$A$4:$A$6,0)),""),"")</f>
        <v/>
      </c>
      <c r="I25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1" s="13">
        <f t="shared" si="12"/>
        <v>0</v>
      </c>
      <c r="K251" s="12"/>
      <c r="L251" s="13">
        <f>IF(K251="",0,IF(K251&gt;=Config!$B$12,0,IF(K251&gt;Config!$F$14,INDEX(Config!$H$4:$H$5,MATCH(C251,Config!$E$4:$E$5,0))*Config!$F$11,INDEX(Config!$H$4:$H$5,MATCH(C251,Config!$E$4:$E$5,0)))))</f>
        <v>0</v>
      </c>
      <c r="M251" s="13">
        <f>IF(K251="",0,IF(K251&gt;=Config!$B$12,0,IF(K251&gt;=0.96,0,IF(K251&gt;=0.9,Config!$F$12,Config!$F$13))))</f>
        <v>0</v>
      </c>
      <c r="O251" s="11">
        <f>IF(N251="Pass",IFERROR(INDEX(Config!$I$4:$I$5,MATCH(C251,Config!$E$4:$E$5,0)),0),0)</f>
        <v>0</v>
      </c>
      <c r="P251" s="13">
        <f t="shared" si="13"/>
        <v>0</v>
      </c>
      <c r="Q251" s="11" t="str">
        <f t="shared" si="14"/>
        <v/>
      </c>
      <c r="R251" s="11" t="str">
        <f t="shared" si="15"/>
        <v/>
      </c>
    </row>
    <row r="252" spans="1:18" x14ac:dyDescent="0.25">
      <c r="A252" s="10"/>
      <c r="F252" s="11">
        <f>IF(E252="Pass",IFERROR(INDEX(Config!$F$4:$F$5,MATCH(C252,Config!$E$4:$E$5,0)),0),0)</f>
        <v>0</v>
      </c>
      <c r="G252" s="12"/>
      <c r="H252" s="12" t="str">
        <f>IF(C252="Forecasting",IFERROR(INDEX(Config!$B$4:$B$6,MATCH(D252,Config!$A$4:$A$6,0)),""),"")</f>
        <v/>
      </c>
      <c r="I25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2" s="13">
        <f t="shared" si="12"/>
        <v>0</v>
      </c>
      <c r="K252" s="12"/>
      <c r="L252" s="13">
        <f>IF(K252="",0,IF(K252&gt;=Config!$B$12,0,IF(K252&gt;Config!$F$14,INDEX(Config!$H$4:$H$5,MATCH(C252,Config!$E$4:$E$5,0))*Config!$F$11,INDEX(Config!$H$4:$H$5,MATCH(C252,Config!$E$4:$E$5,0)))))</f>
        <v>0</v>
      </c>
      <c r="M252" s="13">
        <f>IF(K252="",0,IF(K252&gt;=Config!$B$12,0,IF(K252&gt;=0.96,0,IF(K252&gt;=0.9,Config!$F$12,Config!$F$13))))</f>
        <v>0</v>
      </c>
      <c r="O252" s="11">
        <f>IF(N252="Pass",IFERROR(INDEX(Config!$I$4:$I$5,MATCH(C252,Config!$E$4:$E$5,0)),0),0)</f>
        <v>0</v>
      </c>
      <c r="P252" s="13">
        <f t="shared" si="13"/>
        <v>0</v>
      </c>
      <c r="Q252" s="11" t="str">
        <f t="shared" si="14"/>
        <v/>
      </c>
      <c r="R252" s="11" t="str">
        <f t="shared" si="15"/>
        <v/>
      </c>
    </row>
    <row r="253" spans="1:18" x14ac:dyDescent="0.25">
      <c r="A253" s="10"/>
      <c r="F253" s="11">
        <f>IF(E253="Pass",IFERROR(INDEX(Config!$F$4:$F$5,MATCH(C253,Config!$E$4:$E$5,0)),0),0)</f>
        <v>0</v>
      </c>
      <c r="G253" s="12"/>
      <c r="H253" s="12" t="str">
        <f>IF(C253="Forecasting",IFERROR(INDEX(Config!$B$4:$B$6,MATCH(D253,Config!$A$4:$A$6,0)),""),"")</f>
        <v/>
      </c>
      <c r="I25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3" s="13">
        <f t="shared" si="12"/>
        <v>0</v>
      </c>
      <c r="K253" s="12"/>
      <c r="L253" s="13">
        <f>IF(K253="",0,IF(K253&gt;=Config!$B$12,0,IF(K253&gt;Config!$F$14,INDEX(Config!$H$4:$H$5,MATCH(C253,Config!$E$4:$E$5,0))*Config!$F$11,INDEX(Config!$H$4:$H$5,MATCH(C253,Config!$E$4:$E$5,0)))))</f>
        <v>0</v>
      </c>
      <c r="M253" s="13">
        <f>IF(K253="",0,IF(K253&gt;=Config!$B$12,0,IF(K253&gt;=0.96,0,IF(K253&gt;=0.9,Config!$F$12,Config!$F$13))))</f>
        <v>0</v>
      </c>
      <c r="O253" s="11">
        <f>IF(N253="Pass",IFERROR(INDEX(Config!$I$4:$I$5,MATCH(C253,Config!$E$4:$E$5,0)),0),0)</f>
        <v>0</v>
      </c>
      <c r="P253" s="13">
        <f t="shared" si="13"/>
        <v>0</v>
      </c>
      <c r="Q253" s="11" t="str">
        <f t="shared" si="14"/>
        <v/>
      </c>
      <c r="R253" s="11" t="str">
        <f t="shared" si="15"/>
        <v/>
      </c>
    </row>
    <row r="254" spans="1:18" x14ac:dyDescent="0.25">
      <c r="A254" s="10"/>
      <c r="F254" s="11">
        <f>IF(E254="Pass",IFERROR(INDEX(Config!$F$4:$F$5,MATCH(C254,Config!$E$4:$E$5,0)),0),0)</f>
        <v>0</v>
      </c>
      <c r="G254" s="12"/>
      <c r="H254" s="12" t="str">
        <f>IF(C254="Forecasting",IFERROR(INDEX(Config!$B$4:$B$6,MATCH(D254,Config!$A$4:$A$6,0)),""),"")</f>
        <v/>
      </c>
      <c r="I25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4" s="13">
        <f t="shared" si="12"/>
        <v>0</v>
      </c>
      <c r="K254" s="12"/>
      <c r="L254" s="13">
        <f>IF(K254="",0,IF(K254&gt;=Config!$B$12,0,IF(K254&gt;Config!$F$14,INDEX(Config!$H$4:$H$5,MATCH(C254,Config!$E$4:$E$5,0))*Config!$F$11,INDEX(Config!$H$4:$H$5,MATCH(C254,Config!$E$4:$E$5,0)))))</f>
        <v>0</v>
      </c>
      <c r="M254" s="13">
        <f>IF(K254="",0,IF(K254&gt;=Config!$B$12,0,IF(K254&gt;=0.96,0,IF(K254&gt;=0.9,Config!$F$12,Config!$F$13))))</f>
        <v>0</v>
      </c>
      <c r="O254" s="11">
        <f>IF(N254="Pass",IFERROR(INDEX(Config!$I$4:$I$5,MATCH(C254,Config!$E$4:$E$5,0)),0),0)</f>
        <v>0</v>
      </c>
      <c r="P254" s="13">
        <f t="shared" si="13"/>
        <v>0</v>
      </c>
      <c r="Q254" s="11" t="str">
        <f t="shared" si="14"/>
        <v/>
      </c>
      <c r="R254" s="11" t="str">
        <f t="shared" si="15"/>
        <v/>
      </c>
    </row>
    <row r="255" spans="1:18" x14ac:dyDescent="0.25">
      <c r="A255" s="10"/>
      <c r="F255" s="11">
        <f>IF(E255="Pass",IFERROR(INDEX(Config!$F$4:$F$5,MATCH(C255,Config!$E$4:$E$5,0)),0),0)</f>
        <v>0</v>
      </c>
      <c r="G255" s="12"/>
      <c r="H255" s="12" t="str">
        <f>IF(C255="Forecasting",IFERROR(INDEX(Config!$B$4:$B$6,MATCH(D255,Config!$A$4:$A$6,0)),""),"")</f>
        <v/>
      </c>
      <c r="I25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5" s="13">
        <f t="shared" si="12"/>
        <v>0</v>
      </c>
      <c r="K255" s="12"/>
      <c r="L255" s="13">
        <f>IF(K255="",0,IF(K255&gt;=Config!$B$12,0,IF(K255&gt;Config!$F$14,INDEX(Config!$H$4:$H$5,MATCH(C255,Config!$E$4:$E$5,0))*Config!$F$11,INDEX(Config!$H$4:$H$5,MATCH(C255,Config!$E$4:$E$5,0)))))</f>
        <v>0</v>
      </c>
      <c r="M255" s="13">
        <f>IF(K255="",0,IF(K255&gt;=Config!$B$12,0,IF(K255&gt;=0.96,0,IF(K255&gt;=0.9,Config!$F$12,Config!$F$13))))</f>
        <v>0</v>
      </c>
      <c r="O255" s="11">
        <f>IF(N255="Pass",IFERROR(INDEX(Config!$I$4:$I$5,MATCH(C255,Config!$E$4:$E$5,0)),0),0)</f>
        <v>0</v>
      </c>
      <c r="P255" s="13">
        <f t="shared" si="13"/>
        <v>0</v>
      </c>
      <c r="Q255" s="11" t="str">
        <f t="shared" si="14"/>
        <v/>
      </c>
      <c r="R255" s="11" t="str">
        <f t="shared" si="15"/>
        <v/>
      </c>
    </row>
    <row r="256" spans="1:18" x14ac:dyDescent="0.25">
      <c r="A256" s="10"/>
      <c r="F256" s="11">
        <f>IF(E256="Pass",IFERROR(INDEX(Config!$F$4:$F$5,MATCH(C256,Config!$E$4:$E$5,0)),0),0)</f>
        <v>0</v>
      </c>
      <c r="G256" s="12"/>
      <c r="H256" s="12" t="str">
        <f>IF(C256="Forecasting",IFERROR(INDEX(Config!$B$4:$B$6,MATCH(D256,Config!$A$4:$A$6,0)),""),"")</f>
        <v/>
      </c>
      <c r="I25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6" s="13">
        <f t="shared" si="12"/>
        <v>0</v>
      </c>
      <c r="K256" s="12"/>
      <c r="L256" s="13">
        <f>IF(K256="",0,IF(K256&gt;=Config!$B$12,0,IF(K256&gt;Config!$F$14,INDEX(Config!$H$4:$H$5,MATCH(C256,Config!$E$4:$E$5,0))*Config!$F$11,INDEX(Config!$H$4:$H$5,MATCH(C256,Config!$E$4:$E$5,0)))))</f>
        <v>0</v>
      </c>
      <c r="M256" s="13">
        <f>IF(K256="",0,IF(K256&gt;=Config!$B$12,0,IF(K256&gt;=0.96,0,IF(K256&gt;=0.9,Config!$F$12,Config!$F$13))))</f>
        <v>0</v>
      </c>
      <c r="O256" s="11">
        <f>IF(N256="Pass",IFERROR(INDEX(Config!$I$4:$I$5,MATCH(C256,Config!$E$4:$E$5,0)),0),0)</f>
        <v>0</v>
      </c>
      <c r="P256" s="13">
        <f t="shared" si="13"/>
        <v>0</v>
      </c>
      <c r="Q256" s="11" t="str">
        <f t="shared" si="14"/>
        <v/>
      </c>
      <c r="R256" s="11" t="str">
        <f t="shared" si="15"/>
        <v/>
      </c>
    </row>
    <row r="257" spans="1:18" x14ac:dyDescent="0.25">
      <c r="A257" s="10"/>
      <c r="F257" s="11">
        <f>IF(E257="Pass",IFERROR(INDEX(Config!$F$4:$F$5,MATCH(C257,Config!$E$4:$E$5,0)),0),0)</f>
        <v>0</v>
      </c>
      <c r="G257" s="12"/>
      <c r="H257" s="12" t="str">
        <f>IF(C257="Forecasting",IFERROR(INDEX(Config!$B$4:$B$6,MATCH(D257,Config!$A$4:$A$6,0)),""),"")</f>
        <v/>
      </c>
      <c r="I25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7" s="13">
        <f t="shared" si="12"/>
        <v>0</v>
      </c>
      <c r="K257" s="12"/>
      <c r="L257" s="13">
        <f>IF(K257="",0,IF(K257&gt;=Config!$B$12,0,IF(K257&gt;Config!$F$14,INDEX(Config!$H$4:$H$5,MATCH(C257,Config!$E$4:$E$5,0))*Config!$F$11,INDEX(Config!$H$4:$H$5,MATCH(C257,Config!$E$4:$E$5,0)))))</f>
        <v>0</v>
      </c>
      <c r="M257" s="13">
        <f>IF(K257="",0,IF(K257&gt;=Config!$B$12,0,IF(K257&gt;=0.96,0,IF(K257&gt;=0.9,Config!$F$12,Config!$F$13))))</f>
        <v>0</v>
      </c>
      <c r="O257" s="11">
        <f>IF(N257="Pass",IFERROR(INDEX(Config!$I$4:$I$5,MATCH(C257,Config!$E$4:$E$5,0)),0),0)</f>
        <v>0</v>
      </c>
      <c r="P257" s="13">
        <f t="shared" si="13"/>
        <v>0</v>
      </c>
      <c r="Q257" s="11" t="str">
        <f t="shared" si="14"/>
        <v/>
      </c>
      <c r="R257" s="11" t="str">
        <f t="shared" si="15"/>
        <v/>
      </c>
    </row>
    <row r="258" spans="1:18" x14ac:dyDescent="0.25">
      <c r="A258" s="10"/>
      <c r="F258" s="11">
        <f>IF(E258="Pass",IFERROR(INDEX(Config!$F$4:$F$5,MATCH(C258,Config!$E$4:$E$5,0)),0),0)</f>
        <v>0</v>
      </c>
      <c r="G258" s="12"/>
      <c r="H258" s="12" t="str">
        <f>IF(C258="Forecasting",IFERROR(INDEX(Config!$B$4:$B$6,MATCH(D258,Config!$A$4:$A$6,0)),""),"")</f>
        <v/>
      </c>
      <c r="I25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8" s="13">
        <f t="shared" si="12"/>
        <v>0</v>
      </c>
      <c r="K258" s="12"/>
      <c r="L258" s="13">
        <f>IF(K258="",0,IF(K258&gt;=Config!$B$12,0,IF(K258&gt;Config!$F$14,INDEX(Config!$H$4:$H$5,MATCH(C258,Config!$E$4:$E$5,0))*Config!$F$11,INDEX(Config!$H$4:$H$5,MATCH(C258,Config!$E$4:$E$5,0)))))</f>
        <v>0</v>
      </c>
      <c r="M258" s="13">
        <f>IF(K258="",0,IF(K258&gt;=Config!$B$12,0,IF(K258&gt;=0.96,0,IF(K258&gt;=0.9,Config!$F$12,Config!$F$13))))</f>
        <v>0</v>
      </c>
      <c r="O258" s="11">
        <f>IF(N258="Pass",IFERROR(INDEX(Config!$I$4:$I$5,MATCH(C258,Config!$E$4:$E$5,0)),0),0)</f>
        <v>0</v>
      </c>
      <c r="P258" s="13">
        <f t="shared" si="13"/>
        <v>0</v>
      </c>
      <c r="Q258" s="11" t="str">
        <f t="shared" si="14"/>
        <v/>
      </c>
      <c r="R258" s="11" t="str">
        <f t="shared" si="15"/>
        <v/>
      </c>
    </row>
    <row r="259" spans="1:18" x14ac:dyDescent="0.25">
      <c r="A259" s="10"/>
      <c r="F259" s="11">
        <f>IF(E259="Pass",IFERROR(INDEX(Config!$F$4:$F$5,MATCH(C259,Config!$E$4:$E$5,0)),0),0)</f>
        <v>0</v>
      </c>
      <c r="G259" s="12"/>
      <c r="H259" s="12" t="str">
        <f>IF(C259="Forecasting",IFERROR(INDEX(Config!$B$4:$B$6,MATCH(D259,Config!$A$4:$A$6,0)),""),"")</f>
        <v/>
      </c>
      <c r="I25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59" s="13">
        <f t="shared" ref="J259:J302" si="16">IF(AND(C259="Forecasting",G259&lt;&gt;"",G259&gt;H259),MIN(5,(G259-H259)/(1-H259)*5),0)</f>
        <v>0</v>
      </c>
      <c r="K259" s="12"/>
      <c r="L259" s="13">
        <f>IF(K259="",0,IF(K259&gt;=Config!$B$12,0,IF(K259&gt;Config!$F$14,INDEX(Config!$H$4:$H$5,MATCH(C259,Config!$E$4:$E$5,0))*Config!$F$11,INDEX(Config!$H$4:$H$5,MATCH(C259,Config!$E$4:$E$5,0)))))</f>
        <v>0</v>
      </c>
      <c r="M259" s="13">
        <f>IF(K259="",0,IF(K259&gt;=Config!$B$12,0,IF(K259&gt;=0.96,0,IF(K259&gt;=0.9,Config!$F$12,Config!$F$13))))</f>
        <v>0</v>
      </c>
      <c r="O259" s="11">
        <f>IF(N259="Pass",IFERROR(INDEX(Config!$I$4:$I$5,MATCH(C259,Config!$E$4:$E$5,0)),0),0)</f>
        <v>0</v>
      </c>
      <c r="P259" s="13">
        <f t="shared" ref="P259:P302" si="17">F259+I259+J259+L259+M259+O259</f>
        <v>0</v>
      </c>
      <c r="Q259" s="11" t="str">
        <f t="shared" ref="Q259:Q302" si="18">IF(A259="","",MONTH(A259))</f>
        <v/>
      </c>
      <c r="R259" s="11" t="str">
        <f t="shared" ref="R259:R302" si="19">IF(A259="","",YEAR(A259))</f>
        <v/>
      </c>
    </row>
    <row r="260" spans="1:18" x14ac:dyDescent="0.25">
      <c r="A260" s="10"/>
      <c r="F260" s="11">
        <f>IF(E260="Pass",IFERROR(INDEX(Config!$F$4:$F$5,MATCH(C260,Config!$E$4:$E$5,0)),0),0)</f>
        <v>0</v>
      </c>
      <c r="G260" s="12"/>
      <c r="H260" s="12" t="str">
        <f>IF(C260="Forecasting",IFERROR(INDEX(Config!$B$4:$B$6,MATCH(D260,Config!$A$4:$A$6,0)),""),"")</f>
        <v/>
      </c>
      <c r="I26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0" s="13">
        <f t="shared" si="16"/>
        <v>0</v>
      </c>
      <c r="K260" s="12"/>
      <c r="L260" s="13">
        <f>IF(K260="",0,IF(K260&gt;=Config!$B$12,0,IF(K260&gt;Config!$F$14,INDEX(Config!$H$4:$H$5,MATCH(C260,Config!$E$4:$E$5,0))*Config!$F$11,INDEX(Config!$H$4:$H$5,MATCH(C260,Config!$E$4:$E$5,0)))))</f>
        <v>0</v>
      </c>
      <c r="M260" s="13">
        <f>IF(K260="",0,IF(K260&gt;=Config!$B$12,0,IF(K260&gt;=0.96,0,IF(K260&gt;=0.9,Config!$F$12,Config!$F$13))))</f>
        <v>0</v>
      </c>
      <c r="O260" s="11">
        <f>IF(N260="Pass",IFERROR(INDEX(Config!$I$4:$I$5,MATCH(C260,Config!$E$4:$E$5,0)),0),0)</f>
        <v>0</v>
      </c>
      <c r="P260" s="13">
        <f t="shared" si="17"/>
        <v>0</v>
      </c>
      <c r="Q260" s="11" t="str">
        <f t="shared" si="18"/>
        <v/>
      </c>
      <c r="R260" s="11" t="str">
        <f t="shared" si="19"/>
        <v/>
      </c>
    </row>
    <row r="261" spans="1:18" x14ac:dyDescent="0.25">
      <c r="A261" s="10"/>
      <c r="F261" s="11">
        <f>IF(E261="Pass",IFERROR(INDEX(Config!$F$4:$F$5,MATCH(C261,Config!$E$4:$E$5,0)),0),0)</f>
        <v>0</v>
      </c>
      <c r="G261" s="12"/>
      <c r="H261" s="12" t="str">
        <f>IF(C261="Forecasting",IFERROR(INDEX(Config!$B$4:$B$6,MATCH(D261,Config!$A$4:$A$6,0)),""),"")</f>
        <v/>
      </c>
      <c r="I26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1" s="13">
        <f t="shared" si="16"/>
        <v>0</v>
      </c>
      <c r="K261" s="12"/>
      <c r="L261" s="13">
        <f>IF(K261="",0,IF(K261&gt;=Config!$B$12,0,IF(K261&gt;Config!$F$14,INDEX(Config!$H$4:$H$5,MATCH(C261,Config!$E$4:$E$5,0))*Config!$F$11,INDEX(Config!$H$4:$H$5,MATCH(C261,Config!$E$4:$E$5,0)))))</f>
        <v>0</v>
      </c>
      <c r="M261" s="13">
        <f>IF(K261="",0,IF(K261&gt;=Config!$B$12,0,IF(K261&gt;=0.96,0,IF(K261&gt;=0.9,Config!$F$12,Config!$F$13))))</f>
        <v>0</v>
      </c>
      <c r="O261" s="11">
        <f>IF(N261="Pass",IFERROR(INDEX(Config!$I$4:$I$5,MATCH(C261,Config!$E$4:$E$5,0)),0),0)</f>
        <v>0</v>
      </c>
      <c r="P261" s="13">
        <f t="shared" si="17"/>
        <v>0</v>
      </c>
      <c r="Q261" s="11" t="str">
        <f t="shared" si="18"/>
        <v/>
      </c>
      <c r="R261" s="11" t="str">
        <f t="shared" si="19"/>
        <v/>
      </c>
    </row>
    <row r="262" spans="1:18" x14ac:dyDescent="0.25">
      <c r="A262" s="10"/>
      <c r="F262" s="11">
        <f>IF(E262="Pass",IFERROR(INDEX(Config!$F$4:$F$5,MATCH(C262,Config!$E$4:$E$5,0)),0),0)</f>
        <v>0</v>
      </c>
      <c r="G262" s="12"/>
      <c r="H262" s="12" t="str">
        <f>IF(C262="Forecasting",IFERROR(INDEX(Config!$B$4:$B$6,MATCH(D262,Config!$A$4:$A$6,0)),""),"")</f>
        <v/>
      </c>
      <c r="I26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2" s="13">
        <f t="shared" si="16"/>
        <v>0</v>
      </c>
      <c r="K262" s="12"/>
      <c r="L262" s="13">
        <f>IF(K262="",0,IF(K262&gt;=Config!$B$12,0,IF(K262&gt;Config!$F$14,INDEX(Config!$H$4:$H$5,MATCH(C262,Config!$E$4:$E$5,0))*Config!$F$11,INDEX(Config!$H$4:$H$5,MATCH(C262,Config!$E$4:$E$5,0)))))</f>
        <v>0</v>
      </c>
      <c r="M262" s="13">
        <f>IF(K262="",0,IF(K262&gt;=Config!$B$12,0,IF(K262&gt;=0.96,0,IF(K262&gt;=0.9,Config!$F$12,Config!$F$13))))</f>
        <v>0</v>
      </c>
      <c r="O262" s="11">
        <f>IF(N262="Pass",IFERROR(INDEX(Config!$I$4:$I$5,MATCH(C262,Config!$E$4:$E$5,0)),0),0)</f>
        <v>0</v>
      </c>
      <c r="P262" s="13">
        <f t="shared" si="17"/>
        <v>0</v>
      </c>
      <c r="Q262" s="11" t="str">
        <f t="shared" si="18"/>
        <v/>
      </c>
      <c r="R262" s="11" t="str">
        <f t="shared" si="19"/>
        <v/>
      </c>
    </row>
    <row r="263" spans="1:18" x14ac:dyDescent="0.25">
      <c r="A263" s="10"/>
      <c r="F263" s="11">
        <f>IF(E263="Pass",IFERROR(INDEX(Config!$F$4:$F$5,MATCH(C263,Config!$E$4:$E$5,0)),0),0)</f>
        <v>0</v>
      </c>
      <c r="G263" s="12"/>
      <c r="H263" s="12" t="str">
        <f>IF(C263="Forecasting",IFERROR(INDEX(Config!$B$4:$B$6,MATCH(D263,Config!$A$4:$A$6,0)),""),"")</f>
        <v/>
      </c>
      <c r="I26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3" s="13">
        <f t="shared" si="16"/>
        <v>0</v>
      </c>
      <c r="K263" s="12"/>
      <c r="L263" s="13">
        <f>IF(K263="",0,IF(K263&gt;=Config!$B$12,0,IF(K263&gt;Config!$F$14,INDEX(Config!$H$4:$H$5,MATCH(C263,Config!$E$4:$E$5,0))*Config!$F$11,INDEX(Config!$H$4:$H$5,MATCH(C263,Config!$E$4:$E$5,0)))))</f>
        <v>0</v>
      </c>
      <c r="M263" s="13">
        <f>IF(K263="",0,IF(K263&gt;=Config!$B$12,0,IF(K263&gt;=0.96,0,IF(K263&gt;=0.9,Config!$F$12,Config!$F$13))))</f>
        <v>0</v>
      </c>
      <c r="O263" s="11">
        <f>IF(N263="Pass",IFERROR(INDEX(Config!$I$4:$I$5,MATCH(C263,Config!$E$4:$E$5,0)),0),0)</f>
        <v>0</v>
      </c>
      <c r="P263" s="13">
        <f t="shared" si="17"/>
        <v>0</v>
      </c>
      <c r="Q263" s="11" t="str">
        <f t="shared" si="18"/>
        <v/>
      </c>
      <c r="R263" s="11" t="str">
        <f t="shared" si="19"/>
        <v/>
      </c>
    </row>
    <row r="264" spans="1:18" x14ac:dyDescent="0.25">
      <c r="A264" s="10"/>
      <c r="F264" s="11">
        <f>IF(E264="Pass",IFERROR(INDEX(Config!$F$4:$F$5,MATCH(C264,Config!$E$4:$E$5,0)),0),0)</f>
        <v>0</v>
      </c>
      <c r="G264" s="12"/>
      <c r="H264" s="12" t="str">
        <f>IF(C264="Forecasting",IFERROR(INDEX(Config!$B$4:$B$6,MATCH(D264,Config!$A$4:$A$6,0)),""),"")</f>
        <v/>
      </c>
      <c r="I26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4" s="13">
        <f t="shared" si="16"/>
        <v>0</v>
      </c>
      <c r="K264" s="12"/>
      <c r="L264" s="13">
        <f>IF(K264="",0,IF(K264&gt;=Config!$B$12,0,IF(K264&gt;Config!$F$14,INDEX(Config!$H$4:$H$5,MATCH(C264,Config!$E$4:$E$5,0))*Config!$F$11,INDEX(Config!$H$4:$H$5,MATCH(C264,Config!$E$4:$E$5,0)))))</f>
        <v>0</v>
      </c>
      <c r="M264" s="13">
        <f>IF(K264="",0,IF(K264&gt;=Config!$B$12,0,IF(K264&gt;=0.96,0,IF(K264&gt;=0.9,Config!$F$12,Config!$F$13))))</f>
        <v>0</v>
      </c>
      <c r="O264" s="11">
        <f>IF(N264="Pass",IFERROR(INDEX(Config!$I$4:$I$5,MATCH(C264,Config!$E$4:$E$5,0)),0),0)</f>
        <v>0</v>
      </c>
      <c r="P264" s="13">
        <f t="shared" si="17"/>
        <v>0</v>
      </c>
      <c r="Q264" s="11" t="str">
        <f t="shared" si="18"/>
        <v/>
      </c>
      <c r="R264" s="11" t="str">
        <f t="shared" si="19"/>
        <v/>
      </c>
    </row>
    <row r="265" spans="1:18" x14ac:dyDescent="0.25">
      <c r="A265" s="10"/>
      <c r="F265" s="11">
        <f>IF(E265="Pass",IFERROR(INDEX(Config!$F$4:$F$5,MATCH(C265,Config!$E$4:$E$5,0)),0),0)</f>
        <v>0</v>
      </c>
      <c r="G265" s="12"/>
      <c r="H265" s="12" t="str">
        <f>IF(C265="Forecasting",IFERROR(INDEX(Config!$B$4:$B$6,MATCH(D265,Config!$A$4:$A$6,0)),""),"")</f>
        <v/>
      </c>
      <c r="I26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5" s="13">
        <f t="shared" si="16"/>
        <v>0</v>
      </c>
      <c r="K265" s="12"/>
      <c r="L265" s="13">
        <f>IF(K265="",0,IF(K265&gt;=Config!$B$12,0,IF(K265&gt;Config!$F$14,INDEX(Config!$H$4:$H$5,MATCH(C265,Config!$E$4:$E$5,0))*Config!$F$11,INDEX(Config!$H$4:$H$5,MATCH(C265,Config!$E$4:$E$5,0)))))</f>
        <v>0</v>
      </c>
      <c r="M265" s="13">
        <f>IF(K265="",0,IF(K265&gt;=Config!$B$12,0,IF(K265&gt;=0.96,0,IF(K265&gt;=0.9,Config!$F$12,Config!$F$13))))</f>
        <v>0</v>
      </c>
      <c r="O265" s="11">
        <f>IF(N265="Pass",IFERROR(INDEX(Config!$I$4:$I$5,MATCH(C265,Config!$E$4:$E$5,0)),0),0)</f>
        <v>0</v>
      </c>
      <c r="P265" s="13">
        <f t="shared" si="17"/>
        <v>0</v>
      </c>
      <c r="Q265" s="11" t="str">
        <f t="shared" si="18"/>
        <v/>
      </c>
      <c r="R265" s="11" t="str">
        <f t="shared" si="19"/>
        <v/>
      </c>
    </row>
    <row r="266" spans="1:18" x14ac:dyDescent="0.25">
      <c r="A266" s="10"/>
      <c r="F266" s="11">
        <f>IF(E266="Pass",IFERROR(INDEX(Config!$F$4:$F$5,MATCH(C266,Config!$E$4:$E$5,0)),0),0)</f>
        <v>0</v>
      </c>
      <c r="G266" s="12"/>
      <c r="H266" s="12" t="str">
        <f>IF(C266="Forecasting",IFERROR(INDEX(Config!$B$4:$B$6,MATCH(D266,Config!$A$4:$A$6,0)),""),"")</f>
        <v/>
      </c>
      <c r="I26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6" s="13">
        <f t="shared" si="16"/>
        <v>0</v>
      </c>
      <c r="K266" s="12"/>
      <c r="L266" s="13">
        <f>IF(K266="",0,IF(K266&gt;=Config!$B$12,0,IF(K266&gt;Config!$F$14,INDEX(Config!$H$4:$H$5,MATCH(C266,Config!$E$4:$E$5,0))*Config!$F$11,INDEX(Config!$H$4:$H$5,MATCH(C266,Config!$E$4:$E$5,0)))))</f>
        <v>0</v>
      </c>
      <c r="M266" s="13">
        <f>IF(K266="",0,IF(K266&gt;=Config!$B$12,0,IF(K266&gt;=0.96,0,IF(K266&gt;=0.9,Config!$F$12,Config!$F$13))))</f>
        <v>0</v>
      </c>
      <c r="O266" s="11">
        <f>IF(N266="Pass",IFERROR(INDEX(Config!$I$4:$I$5,MATCH(C266,Config!$E$4:$E$5,0)),0),0)</f>
        <v>0</v>
      </c>
      <c r="P266" s="13">
        <f t="shared" si="17"/>
        <v>0</v>
      </c>
      <c r="Q266" s="11" t="str">
        <f t="shared" si="18"/>
        <v/>
      </c>
      <c r="R266" s="11" t="str">
        <f t="shared" si="19"/>
        <v/>
      </c>
    </row>
    <row r="267" spans="1:18" x14ac:dyDescent="0.25">
      <c r="A267" s="10"/>
      <c r="F267" s="11">
        <f>IF(E267="Pass",IFERROR(INDEX(Config!$F$4:$F$5,MATCH(C267,Config!$E$4:$E$5,0)),0),0)</f>
        <v>0</v>
      </c>
      <c r="G267" s="12"/>
      <c r="H267" s="12" t="str">
        <f>IF(C267="Forecasting",IFERROR(INDEX(Config!$B$4:$B$6,MATCH(D267,Config!$A$4:$A$6,0)),""),"")</f>
        <v/>
      </c>
      <c r="I26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7" s="13">
        <f t="shared" si="16"/>
        <v>0</v>
      </c>
      <c r="K267" s="12"/>
      <c r="L267" s="13">
        <f>IF(K267="",0,IF(K267&gt;=Config!$B$12,0,IF(K267&gt;Config!$F$14,INDEX(Config!$H$4:$H$5,MATCH(C267,Config!$E$4:$E$5,0))*Config!$F$11,INDEX(Config!$H$4:$H$5,MATCH(C267,Config!$E$4:$E$5,0)))))</f>
        <v>0</v>
      </c>
      <c r="M267" s="13">
        <f>IF(K267="",0,IF(K267&gt;=Config!$B$12,0,IF(K267&gt;=0.96,0,IF(K267&gt;=0.9,Config!$F$12,Config!$F$13))))</f>
        <v>0</v>
      </c>
      <c r="O267" s="11">
        <f>IF(N267="Pass",IFERROR(INDEX(Config!$I$4:$I$5,MATCH(C267,Config!$E$4:$E$5,0)),0),0)</f>
        <v>0</v>
      </c>
      <c r="P267" s="13">
        <f t="shared" si="17"/>
        <v>0</v>
      </c>
      <c r="Q267" s="11" t="str">
        <f t="shared" si="18"/>
        <v/>
      </c>
      <c r="R267" s="11" t="str">
        <f t="shared" si="19"/>
        <v/>
      </c>
    </row>
    <row r="268" spans="1:18" x14ac:dyDescent="0.25">
      <c r="A268" s="10"/>
      <c r="F268" s="11">
        <f>IF(E268="Pass",IFERROR(INDEX(Config!$F$4:$F$5,MATCH(C268,Config!$E$4:$E$5,0)),0),0)</f>
        <v>0</v>
      </c>
      <c r="G268" s="12"/>
      <c r="H268" s="12" t="str">
        <f>IF(C268="Forecasting",IFERROR(INDEX(Config!$B$4:$B$6,MATCH(D268,Config!$A$4:$A$6,0)),""),"")</f>
        <v/>
      </c>
      <c r="I26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8" s="13">
        <f t="shared" si="16"/>
        <v>0</v>
      </c>
      <c r="K268" s="12"/>
      <c r="L268" s="13">
        <f>IF(K268="",0,IF(K268&gt;=Config!$B$12,0,IF(K268&gt;Config!$F$14,INDEX(Config!$H$4:$H$5,MATCH(C268,Config!$E$4:$E$5,0))*Config!$F$11,INDEX(Config!$H$4:$H$5,MATCH(C268,Config!$E$4:$E$5,0)))))</f>
        <v>0</v>
      </c>
      <c r="M268" s="13">
        <f>IF(K268="",0,IF(K268&gt;=Config!$B$12,0,IF(K268&gt;=0.96,0,IF(K268&gt;=0.9,Config!$F$12,Config!$F$13))))</f>
        <v>0</v>
      </c>
      <c r="O268" s="11">
        <f>IF(N268="Pass",IFERROR(INDEX(Config!$I$4:$I$5,MATCH(C268,Config!$E$4:$E$5,0)),0),0)</f>
        <v>0</v>
      </c>
      <c r="P268" s="13">
        <f t="shared" si="17"/>
        <v>0</v>
      </c>
      <c r="Q268" s="11" t="str">
        <f t="shared" si="18"/>
        <v/>
      </c>
      <c r="R268" s="11" t="str">
        <f t="shared" si="19"/>
        <v/>
      </c>
    </row>
    <row r="269" spans="1:18" x14ac:dyDescent="0.25">
      <c r="A269" s="10"/>
      <c r="F269" s="11">
        <f>IF(E269="Pass",IFERROR(INDEX(Config!$F$4:$F$5,MATCH(C269,Config!$E$4:$E$5,0)),0),0)</f>
        <v>0</v>
      </c>
      <c r="G269" s="12"/>
      <c r="H269" s="12" t="str">
        <f>IF(C269="Forecasting",IFERROR(INDEX(Config!$B$4:$B$6,MATCH(D269,Config!$A$4:$A$6,0)),""),"")</f>
        <v/>
      </c>
      <c r="I26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69" s="13">
        <f t="shared" si="16"/>
        <v>0</v>
      </c>
      <c r="K269" s="12"/>
      <c r="L269" s="13">
        <f>IF(K269="",0,IF(K269&gt;=Config!$B$12,0,IF(K269&gt;Config!$F$14,INDEX(Config!$H$4:$H$5,MATCH(C269,Config!$E$4:$E$5,0))*Config!$F$11,INDEX(Config!$H$4:$H$5,MATCH(C269,Config!$E$4:$E$5,0)))))</f>
        <v>0</v>
      </c>
      <c r="M269" s="13">
        <f>IF(K269="",0,IF(K269&gt;=Config!$B$12,0,IF(K269&gt;=0.96,0,IF(K269&gt;=0.9,Config!$F$12,Config!$F$13))))</f>
        <v>0</v>
      </c>
      <c r="O269" s="11">
        <f>IF(N269="Pass",IFERROR(INDEX(Config!$I$4:$I$5,MATCH(C269,Config!$E$4:$E$5,0)),0),0)</f>
        <v>0</v>
      </c>
      <c r="P269" s="13">
        <f t="shared" si="17"/>
        <v>0</v>
      </c>
      <c r="Q269" s="11" t="str">
        <f t="shared" si="18"/>
        <v/>
      </c>
      <c r="R269" s="11" t="str">
        <f t="shared" si="19"/>
        <v/>
      </c>
    </row>
    <row r="270" spans="1:18" x14ac:dyDescent="0.25">
      <c r="A270" s="10"/>
      <c r="F270" s="11">
        <f>IF(E270="Pass",IFERROR(INDEX(Config!$F$4:$F$5,MATCH(C270,Config!$E$4:$E$5,0)),0),0)</f>
        <v>0</v>
      </c>
      <c r="G270" s="12"/>
      <c r="H270" s="12" t="str">
        <f>IF(C270="Forecasting",IFERROR(INDEX(Config!$B$4:$B$6,MATCH(D270,Config!$A$4:$A$6,0)),""),"")</f>
        <v/>
      </c>
      <c r="I27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0" s="13">
        <f t="shared" si="16"/>
        <v>0</v>
      </c>
      <c r="K270" s="12"/>
      <c r="L270" s="13">
        <f>IF(K270="",0,IF(K270&gt;=Config!$B$12,0,IF(K270&gt;Config!$F$14,INDEX(Config!$H$4:$H$5,MATCH(C270,Config!$E$4:$E$5,0))*Config!$F$11,INDEX(Config!$H$4:$H$5,MATCH(C270,Config!$E$4:$E$5,0)))))</f>
        <v>0</v>
      </c>
      <c r="M270" s="13">
        <f>IF(K270="",0,IF(K270&gt;=Config!$B$12,0,IF(K270&gt;=0.96,0,IF(K270&gt;=0.9,Config!$F$12,Config!$F$13))))</f>
        <v>0</v>
      </c>
      <c r="O270" s="11">
        <f>IF(N270="Pass",IFERROR(INDEX(Config!$I$4:$I$5,MATCH(C270,Config!$E$4:$E$5,0)),0),0)</f>
        <v>0</v>
      </c>
      <c r="P270" s="13">
        <f t="shared" si="17"/>
        <v>0</v>
      </c>
      <c r="Q270" s="11" t="str">
        <f t="shared" si="18"/>
        <v/>
      </c>
      <c r="R270" s="11" t="str">
        <f t="shared" si="19"/>
        <v/>
      </c>
    </row>
    <row r="271" spans="1:18" x14ac:dyDescent="0.25">
      <c r="A271" s="10"/>
      <c r="F271" s="11">
        <f>IF(E271="Pass",IFERROR(INDEX(Config!$F$4:$F$5,MATCH(C271,Config!$E$4:$E$5,0)),0),0)</f>
        <v>0</v>
      </c>
      <c r="G271" s="12"/>
      <c r="H271" s="12" t="str">
        <f>IF(C271="Forecasting",IFERROR(INDEX(Config!$B$4:$B$6,MATCH(D271,Config!$A$4:$A$6,0)),""),"")</f>
        <v/>
      </c>
      <c r="I27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1" s="13">
        <f t="shared" si="16"/>
        <v>0</v>
      </c>
      <c r="K271" s="12"/>
      <c r="L271" s="13">
        <f>IF(K271="",0,IF(K271&gt;=Config!$B$12,0,IF(K271&gt;Config!$F$14,INDEX(Config!$H$4:$H$5,MATCH(C271,Config!$E$4:$E$5,0))*Config!$F$11,INDEX(Config!$H$4:$H$5,MATCH(C271,Config!$E$4:$E$5,0)))))</f>
        <v>0</v>
      </c>
      <c r="M271" s="13">
        <f>IF(K271="",0,IF(K271&gt;=Config!$B$12,0,IF(K271&gt;=0.96,0,IF(K271&gt;=0.9,Config!$F$12,Config!$F$13))))</f>
        <v>0</v>
      </c>
      <c r="O271" s="11">
        <f>IF(N271="Pass",IFERROR(INDEX(Config!$I$4:$I$5,MATCH(C271,Config!$E$4:$E$5,0)),0),0)</f>
        <v>0</v>
      </c>
      <c r="P271" s="13">
        <f t="shared" si="17"/>
        <v>0</v>
      </c>
      <c r="Q271" s="11" t="str">
        <f t="shared" si="18"/>
        <v/>
      </c>
      <c r="R271" s="11" t="str">
        <f t="shared" si="19"/>
        <v/>
      </c>
    </row>
    <row r="272" spans="1:18" x14ac:dyDescent="0.25">
      <c r="A272" s="10"/>
      <c r="F272" s="11">
        <f>IF(E272="Pass",IFERROR(INDEX(Config!$F$4:$F$5,MATCH(C272,Config!$E$4:$E$5,0)),0),0)</f>
        <v>0</v>
      </c>
      <c r="G272" s="12"/>
      <c r="H272" s="12" t="str">
        <f>IF(C272="Forecasting",IFERROR(INDEX(Config!$B$4:$B$6,MATCH(D272,Config!$A$4:$A$6,0)),""),"")</f>
        <v/>
      </c>
      <c r="I27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2" s="13">
        <f t="shared" si="16"/>
        <v>0</v>
      </c>
      <c r="K272" s="12"/>
      <c r="L272" s="13">
        <f>IF(K272="",0,IF(K272&gt;=Config!$B$12,0,IF(K272&gt;Config!$F$14,INDEX(Config!$H$4:$H$5,MATCH(C272,Config!$E$4:$E$5,0))*Config!$F$11,INDEX(Config!$H$4:$H$5,MATCH(C272,Config!$E$4:$E$5,0)))))</f>
        <v>0</v>
      </c>
      <c r="M272" s="13">
        <f>IF(K272="",0,IF(K272&gt;=Config!$B$12,0,IF(K272&gt;=0.96,0,IF(K272&gt;=0.9,Config!$F$12,Config!$F$13))))</f>
        <v>0</v>
      </c>
      <c r="O272" s="11">
        <f>IF(N272="Pass",IFERROR(INDEX(Config!$I$4:$I$5,MATCH(C272,Config!$E$4:$E$5,0)),0),0)</f>
        <v>0</v>
      </c>
      <c r="P272" s="13">
        <f t="shared" si="17"/>
        <v>0</v>
      </c>
      <c r="Q272" s="11" t="str">
        <f t="shared" si="18"/>
        <v/>
      </c>
      <c r="R272" s="11" t="str">
        <f t="shared" si="19"/>
        <v/>
      </c>
    </row>
    <row r="273" spans="1:18" x14ac:dyDescent="0.25">
      <c r="A273" s="10"/>
      <c r="F273" s="11">
        <f>IF(E273="Pass",IFERROR(INDEX(Config!$F$4:$F$5,MATCH(C273,Config!$E$4:$E$5,0)),0),0)</f>
        <v>0</v>
      </c>
      <c r="G273" s="12"/>
      <c r="H273" s="12" t="str">
        <f>IF(C273="Forecasting",IFERROR(INDEX(Config!$B$4:$B$6,MATCH(D273,Config!$A$4:$A$6,0)),""),"")</f>
        <v/>
      </c>
      <c r="I27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3" s="13">
        <f t="shared" si="16"/>
        <v>0</v>
      </c>
      <c r="K273" s="12"/>
      <c r="L273" s="13">
        <f>IF(K273="",0,IF(K273&gt;=Config!$B$12,0,IF(K273&gt;Config!$F$14,INDEX(Config!$H$4:$H$5,MATCH(C273,Config!$E$4:$E$5,0))*Config!$F$11,INDEX(Config!$H$4:$H$5,MATCH(C273,Config!$E$4:$E$5,0)))))</f>
        <v>0</v>
      </c>
      <c r="M273" s="13">
        <f>IF(K273="",0,IF(K273&gt;=Config!$B$12,0,IF(K273&gt;=0.96,0,IF(K273&gt;=0.9,Config!$F$12,Config!$F$13))))</f>
        <v>0</v>
      </c>
      <c r="O273" s="11">
        <f>IF(N273="Pass",IFERROR(INDEX(Config!$I$4:$I$5,MATCH(C273,Config!$E$4:$E$5,0)),0),0)</f>
        <v>0</v>
      </c>
      <c r="P273" s="13">
        <f t="shared" si="17"/>
        <v>0</v>
      </c>
      <c r="Q273" s="11" t="str">
        <f t="shared" si="18"/>
        <v/>
      </c>
      <c r="R273" s="11" t="str">
        <f t="shared" si="19"/>
        <v/>
      </c>
    </row>
    <row r="274" spans="1:18" x14ac:dyDescent="0.25">
      <c r="A274" s="10"/>
      <c r="F274" s="11">
        <f>IF(E274="Pass",IFERROR(INDEX(Config!$F$4:$F$5,MATCH(C274,Config!$E$4:$E$5,0)),0),0)</f>
        <v>0</v>
      </c>
      <c r="G274" s="12"/>
      <c r="H274" s="12" t="str">
        <f>IF(C274="Forecasting",IFERROR(INDEX(Config!$B$4:$B$6,MATCH(D274,Config!$A$4:$A$6,0)),""),"")</f>
        <v/>
      </c>
      <c r="I27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4" s="13">
        <f t="shared" si="16"/>
        <v>0</v>
      </c>
      <c r="K274" s="12"/>
      <c r="L274" s="13">
        <f>IF(K274="",0,IF(K274&gt;=Config!$B$12,0,IF(K274&gt;Config!$F$14,INDEX(Config!$H$4:$H$5,MATCH(C274,Config!$E$4:$E$5,0))*Config!$F$11,INDEX(Config!$H$4:$H$5,MATCH(C274,Config!$E$4:$E$5,0)))))</f>
        <v>0</v>
      </c>
      <c r="M274" s="13">
        <f>IF(K274="",0,IF(K274&gt;=Config!$B$12,0,IF(K274&gt;=0.96,0,IF(K274&gt;=0.9,Config!$F$12,Config!$F$13))))</f>
        <v>0</v>
      </c>
      <c r="O274" s="11">
        <f>IF(N274="Pass",IFERROR(INDEX(Config!$I$4:$I$5,MATCH(C274,Config!$E$4:$E$5,0)),0),0)</f>
        <v>0</v>
      </c>
      <c r="P274" s="13">
        <f t="shared" si="17"/>
        <v>0</v>
      </c>
      <c r="Q274" s="11" t="str">
        <f t="shared" si="18"/>
        <v/>
      </c>
      <c r="R274" s="11" t="str">
        <f t="shared" si="19"/>
        <v/>
      </c>
    </row>
    <row r="275" spans="1:18" x14ac:dyDescent="0.25">
      <c r="A275" s="10"/>
      <c r="F275" s="11">
        <f>IF(E275="Pass",IFERROR(INDEX(Config!$F$4:$F$5,MATCH(C275,Config!$E$4:$E$5,0)),0),0)</f>
        <v>0</v>
      </c>
      <c r="G275" s="12"/>
      <c r="H275" s="12" t="str">
        <f>IF(C275="Forecasting",IFERROR(INDEX(Config!$B$4:$B$6,MATCH(D275,Config!$A$4:$A$6,0)),""),"")</f>
        <v/>
      </c>
      <c r="I27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5" s="13">
        <f t="shared" si="16"/>
        <v>0</v>
      </c>
      <c r="K275" s="12"/>
      <c r="L275" s="13">
        <f>IF(K275="",0,IF(K275&gt;=Config!$B$12,0,IF(K275&gt;Config!$F$14,INDEX(Config!$H$4:$H$5,MATCH(C275,Config!$E$4:$E$5,0))*Config!$F$11,INDEX(Config!$H$4:$H$5,MATCH(C275,Config!$E$4:$E$5,0)))))</f>
        <v>0</v>
      </c>
      <c r="M275" s="13">
        <f>IF(K275="",0,IF(K275&gt;=Config!$B$12,0,IF(K275&gt;=0.96,0,IF(K275&gt;=0.9,Config!$F$12,Config!$F$13))))</f>
        <v>0</v>
      </c>
      <c r="O275" s="11">
        <f>IF(N275="Pass",IFERROR(INDEX(Config!$I$4:$I$5,MATCH(C275,Config!$E$4:$E$5,0)),0),0)</f>
        <v>0</v>
      </c>
      <c r="P275" s="13">
        <f t="shared" si="17"/>
        <v>0</v>
      </c>
      <c r="Q275" s="11" t="str">
        <f t="shared" si="18"/>
        <v/>
      </c>
      <c r="R275" s="11" t="str">
        <f t="shared" si="19"/>
        <v/>
      </c>
    </row>
    <row r="276" spans="1:18" x14ac:dyDescent="0.25">
      <c r="A276" s="10"/>
      <c r="F276" s="11">
        <f>IF(E276="Pass",IFERROR(INDEX(Config!$F$4:$F$5,MATCH(C276,Config!$E$4:$E$5,0)),0),0)</f>
        <v>0</v>
      </c>
      <c r="G276" s="12"/>
      <c r="H276" s="12" t="str">
        <f>IF(C276="Forecasting",IFERROR(INDEX(Config!$B$4:$B$6,MATCH(D276,Config!$A$4:$A$6,0)),""),"")</f>
        <v/>
      </c>
      <c r="I27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6" s="13">
        <f t="shared" si="16"/>
        <v>0</v>
      </c>
      <c r="K276" s="12"/>
      <c r="L276" s="13">
        <f>IF(K276="",0,IF(K276&gt;=Config!$B$12,0,IF(K276&gt;Config!$F$14,INDEX(Config!$H$4:$H$5,MATCH(C276,Config!$E$4:$E$5,0))*Config!$F$11,INDEX(Config!$H$4:$H$5,MATCH(C276,Config!$E$4:$E$5,0)))))</f>
        <v>0</v>
      </c>
      <c r="M276" s="13">
        <f>IF(K276="",0,IF(K276&gt;=Config!$B$12,0,IF(K276&gt;=0.96,0,IF(K276&gt;=0.9,Config!$F$12,Config!$F$13))))</f>
        <v>0</v>
      </c>
      <c r="O276" s="11">
        <f>IF(N276="Pass",IFERROR(INDEX(Config!$I$4:$I$5,MATCH(C276,Config!$E$4:$E$5,0)),0),0)</f>
        <v>0</v>
      </c>
      <c r="P276" s="13">
        <f t="shared" si="17"/>
        <v>0</v>
      </c>
      <c r="Q276" s="11" t="str">
        <f t="shared" si="18"/>
        <v/>
      </c>
      <c r="R276" s="11" t="str">
        <f t="shared" si="19"/>
        <v/>
      </c>
    </row>
    <row r="277" spans="1:18" x14ac:dyDescent="0.25">
      <c r="A277" s="10"/>
      <c r="F277" s="11">
        <f>IF(E277="Pass",IFERROR(INDEX(Config!$F$4:$F$5,MATCH(C277,Config!$E$4:$E$5,0)),0),0)</f>
        <v>0</v>
      </c>
      <c r="G277" s="12"/>
      <c r="H277" s="12" t="str">
        <f>IF(C277="Forecasting",IFERROR(INDEX(Config!$B$4:$B$6,MATCH(D277,Config!$A$4:$A$6,0)),""),"")</f>
        <v/>
      </c>
      <c r="I27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7" s="13">
        <f t="shared" si="16"/>
        <v>0</v>
      </c>
      <c r="K277" s="12"/>
      <c r="L277" s="13">
        <f>IF(K277="",0,IF(K277&gt;=Config!$B$12,0,IF(K277&gt;Config!$F$14,INDEX(Config!$H$4:$H$5,MATCH(C277,Config!$E$4:$E$5,0))*Config!$F$11,INDEX(Config!$H$4:$H$5,MATCH(C277,Config!$E$4:$E$5,0)))))</f>
        <v>0</v>
      </c>
      <c r="M277" s="13">
        <f>IF(K277="",0,IF(K277&gt;=Config!$B$12,0,IF(K277&gt;=0.96,0,IF(K277&gt;=0.9,Config!$F$12,Config!$F$13))))</f>
        <v>0</v>
      </c>
      <c r="O277" s="11">
        <f>IF(N277="Pass",IFERROR(INDEX(Config!$I$4:$I$5,MATCH(C277,Config!$E$4:$E$5,0)),0),0)</f>
        <v>0</v>
      </c>
      <c r="P277" s="13">
        <f t="shared" si="17"/>
        <v>0</v>
      </c>
      <c r="Q277" s="11" t="str">
        <f t="shared" si="18"/>
        <v/>
      </c>
      <c r="R277" s="11" t="str">
        <f t="shared" si="19"/>
        <v/>
      </c>
    </row>
    <row r="278" spans="1:18" x14ac:dyDescent="0.25">
      <c r="A278" s="10"/>
      <c r="F278" s="11">
        <f>IF(E278="Pass",IFERROR(INDEX(Config!$F$4:$F$5,MATCH(C278,Config!$E$4:$E$5,0)),0),0)</f>
        <v>0</v>
      </c>
      <c r="G278" s="12"/>
      <c r="H278" s="12" t="str">
        <f>IF(C278="Forecasting",IFERROR(INDEX(Config!$B$4:$B$6,MATCH(D278,Config!$A$4:$A$6,0)),""),"")</f>
        <v/>
      </c>
      <c r="I27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8" s="13">
        <f t="shared" si="16"/>
        <v>0</v>
      </c>
      <c r="K278" s="12"/>
      <c r="L278" s="13">
        <f>IF(K278="",0,IF(K278&gt;=Config!$B$12,0,IF(K278&gt;Config!$F$14,INDEX(Config!$H$4:$H$5,MATCH(C278,Config!$E$4:$E$5,0))*Config!$F$11,INDEX(Config!$H$4:$H$5,MATCH(C278,Config!$E$4:$E$5,0)))))</f>
        <v>0</v>
      </c>
      <c r="M278" s="13">
        <f>IF(K278="",0,IF(K278&gt;=Config!$B$12,0,IF(K278&gt;=0.96,0,IF(K278&gt;=0.9,Config!$F$12,Config!$F$13))))</f>
        <v>0</v>
      </c>
      <c r="O278" s="11">
        <f>IF(N278="Pass",IFERROR(INDEX(Config!$I$4:$I$5,MATCH(C278,Config!$E$4:$E$5,0)),0),0)</f>
        <v>0</v>
      </c>
      <c r="P278" s="13">
        <f t="shared" si="17"/>
        <v>0</v>
      </c>
      <c r="Q278" s="11" t="str">
        <f t="shared" si="18"/>
        <v/>
      </c>
      <c r="R278" s="11" t="str">
        <f t="shared" si="19"/>
        <v/>
      </c>
    </row>
    <row r="279" spans="1:18" x14ac:dyDescent="0.25">
      <c r="A279" s="10"/>
      <c r="F279" s="11">
        <f>IF(E279="Pass",IFERROR(INDEX(Config!$F$4:$F$5,MATCH(C279,Config!$E$4:$E$5,0)),0),0)</f>
        <v>0</v>
      </c>
      <c r="G279" s="12"/>
      <c r="H279" s="12" t="str">
        <f>IF(C279="Forecasting",IFERROR(INDEX(Config!$B$4:$B$6,MATCH(D279,Config!$A$4:$A$6,0)),""),"")</f>
        <v/>
      </c>
      <c r="I27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79" s="13">
        <f t="shared" si="16"/>
        <v>0</v>
      </c>
      <c r="K279" s="12"/>
      <c r="L279" s="13">
        <f>IF(K279="",0,IF(K279&gt;=Config!$B$12,0,IF(K279&gt;Config!$F$14,INDEX(Config!$H$4:$H$5,MATCH(C279,Config!$E$4:$E$5,0))*Config!$F$11,INDEX(Config!$H$4:$H$5,MATCH(C279,Config!$E$4:$E$5,0)))))</f>
        <v>0</v>
      </c>
      <c r="M279" s="13">
        <f>IF(K279="",0,IF(K279&gt;=Config!$B$12,0,IF(K279&gt;=0.96,0,IF(K279&gt;=0.9,Config!$F$12,Config!$F$13))))</f>
        <v>0</v>
      </c>
      <c r="O279" s="11">
        <f>IF(N279="Pass",IFERROR(INDEX(Config!$I$4:$I$5,MATCH(C279,Config!$E$4:$E$5,0)),0),0)</f>
        <v>0</v>
      </c>
      <c r="P279" s="13">
        <f t="shared" si="17"/>
        <v>0</v>
      </c>
      <c r="Q279" s="11" t="str">
        <f t="shared" si="18"/>
        <v/>
      </c>
      <c r="R279" s="11" t="str">
        <f t="shared" si="19"/>
        <v/>
      </c>
    </row>
    <row r="280" spans="1:18" x14ac:dyDescent="0.25">
      <c r="A280" s="10"/>
      <c r="F280" s="11">
        <f>IF(E280="Pass",IFERROR(INDEX(Config!$F$4:$F$5,MATCH(C280,Config!$E$4:$E$5,0)),0),0)</f>
        <v>0</v>
      </c>
      <c r="G280" s="12"/>
      <c r="H280" s="12" t="str">
        <f>IF(C280="Forecasting",IFERROR(INDEX(Config!$B$4:$B$6,MATCH(D280,Config!$A$4:$A$6,0)),""),"")</f>
        <v/>
      </c>
      <c r="I28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0" s="13">
        <f t="shared" si="16"/>
        <v>0</v>
      </c>
      <c r="K280" s="12"/>
      <c r="L280" s="13">
        <f>IF(K280="",0,IF(K280&gt;=Config!$B$12,0,IF(K280&gt;Config!$F$14,INDEX(Config!$H$4:$H$5,MATCH(C280,Config!$E$4:$E$5,0))*Config!$F$11,INDEX(Config!$H$4:$H$5,MATCH(C280,Config!$E$4:$E$5,0)))))</f>
        <v>0</v>
      </c>
      <c r="M280" s="13">
        <f>IF(K280="",0,IF(K280&gt;=Config!$B$12,0,IF(K280&gt;=0.96,0,IF(K280&gt;=0.9,Config!$F$12,Config!$F$13))))</f>
        <v>0</v>
      </c>
      <c r="O280" s="11">
        <f>IF(N280="Pass",IFERROR(INDEX(Config!$I$4:$I$5,MATCH(C280,Config!$E$4:$E$5,0)),0),0)</f>
        <v>0</v>
      </c>
      <c r="P280" s="13">
        <f t="shared" si="17"/>
        <v>0</v>
      </c>
      <c r="Q280" s="11" t="str">
        <f t="shared" si="18"/>
        <v/>
      </c>
      <c r="R280" s="11" t="str">
        <f t="shared" si="19"/>
        <v/>
      </c>
    </row>
    <row r="281" spans="1:18" x14ac:dyDescent="0.25">
      <c r="A281" s="10"/>
      <c r="F281" s="11">
        <f>IF(E281="Pass",IFERROR(INDEX(Config!$F$4:$F$5,MATCH(C281,Config!$E$4:$E$5,0)),0),0)</f>
        <v>0</v>
      </c>
      <c r="G281" s="12"/>
      <c r="H281" s="12" t="str">
        <f>IF(C281="Forecasting",IFERROR(INDEX(Config!$B$4:$B$6,MATCH(D281,Config!$A$4:$A$6,0)),""),"")</f>
        <v/>
      </c>
      <c r="I28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1" s="13">
        <f t="shared" si="16"/>
        <v>0</v>
      </c>
      <c r="K281" s="12"/>
      <c r="L281" s="13">
        <f>IF(K281="",0,IF(K281&gt;=Config!$B$12,0,IF(K281&gt;Config!$F$14,INDEX(Config!$H$4:$H$5,MATCH(C281,Config!$E$4:$E$5,0))*Config!$F$11,INDEX(Config!$H$4:$H$5,MATCH(C281,Config!$E$4:$E$5,0)))))</f>
        <v>0</v>
      </c>
      <c r="M281" s="13">
        <f>IF(K281="",0,IF(K281&gt;=Config!$B$12,0,IF(K281&gt;=0.96,0,IF(K281&gt;=0.9,Config!$F$12,Config!$F$13))))</f>
        <v>0</v>
      </c>
      <c r="O281" s="11">
        <f>IF(N281="Pass",IFERROR(INDEX(Config!$I$4:$I$5,MATCH(C281,Config!$E$4:$E$5,0)),0),0)</f>
        <v>0</v>
      </c>
      <c r="P281" s="13">
        <f t="shared" si="17"/>
        <v>0</v>
      </c>
      <c r="Q281" s="11" t="str">
        <f t="shared" si="18"/>
        <v/>
      </c>
      <c r="R281" s="11" t="str">
        <f t="shared" si="19"/>
        <v/>
      </c>
    </row>
    <row r="282" spans="1:18" x14ac:dyDescent="0.25">
      <c r="A282" s="10"/>
      <c r="F282" s="11">
        <f>IF(E282="Pass",IFERROR(INDEX(Config!$F$4:$F$5,MATCH(C282,Config!$E$4:$E$5,0)),0),0)</f>
        <v>0</v>
      </c>
      <c r="G282" s="12"/>
      <c r="H282" s="12" t="str">
        <f>IF(C282="Forecasting",IFERROR(INDEX(Config!$B$4:$B$6,MATCH(D282,Config!$A$4:$A$6,0)),""),"")</f>
        <v/>
      </c>
      <c r="I28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2" s="13">
        <f t="shared" si="16"/>
        <v>0</v>
      </c>
      <c r="K282" s="12"/>
      <c r="L282" s="13">
        <f>IF(K282="",0,IF(K282&gt;=Config!$B$12,0,IF(K282&gt;Config!$F$14,INDEX(Config!$H$4:$H$5,MATCH(C282,Config!$E$4:$E$5,0))*Config!$F$11,INDEX(Config!$H$4:$H$5,MATCH(C282,Config!$E$4:$E$5,0)))))</f>
        <v>0</v>
      </c>
      <c r="M282" s="13">
        <f>IF(K282="",0,IF(K282&gt;=Config!$B$12,0,IF(K282&gt;=0.96,0,IF(K282&gt;=0.9,Config!$F$12,Config!$F$13))))</f>
        <v>0</v>
      </c>
      <c r="O282" s="11">
        <f>IF(N282="Pass",IFERROR(INDEX(Config!$I$4:$I$5,MATCH(C282,Config!$E$4:$E$5,0)),0),0)</f>
        <v>0</v>
      </c>
      <c r="P282" s="13">
        <f t="shared" si="17"/>
        <v>0</v>
      </c>
      <c r="Q282" s="11" t="str">
        <f t="shared" si="18"/>
        <v/>
      </c>
      <c r="R282" s="11" t="str">
        <f t="shared" si="19"/>
        <v/>
      </c>
    </row>
    <row r="283" spans="1:18" x14ac:dyDescent="0.25">
      <c r="A283" s="10"/>
      <c r="F283" s="11">
        <f>IF(E283="Pass",IFERROR(INDEX(Config!$F$4:$F$5,MATCH(C283,Config!$E$4:$E$5,0)),0),0)</f>
        <v>0</v>
      </c>
      <c r="G283" s="12"/>
      <c r="H283" s="12" t="str">
        <f>IF(C283="Forecasting",IFERROR(INDEX(Config!$B$4:$B$6,MATCH(D283,Config!$A$4:$A$6,0)),""),"")</f>
        <v/>
      </c>
      <c r="I28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3" s="13">
        <f t="shared" si="16"/>
        <v>0</v>
      </c>
      <c r="K283" s="12"/>
      <c r="L283" s="13">
        <f>IF(K283="",0,IF(K283&gt;=Config!$B$12,0,IF(K283&gt;Config!$F$14,INDEX(Config!$H$4:$H$5,MATCH(C283,Config!$E$4:$E$5,0))*Config!$F$11,INDEX(Config!$H$4:$H$5,MATCH(C283,Config!$E$4:$E$5,0)))))</f>
        <v>0</v>
      </c>
      <c r="M283" s="13">
        <f>IF(K283="",0,IF(K283&gt;=Config!$B$12,0,IF(K283&gt;=0.96,0,IF(K283&gt;=0.9,Config!$F$12,Config!$F$13))))</f>
        <v>0</v>
      </c>
      <c r="O283" s="11">
        <f>IF(N283="Pass",IFERROR(INDEX(Config!$I$4:$I$5,MATCH(C283,Config!$E$4:$E$5,0)),0),0)</f>
        <v>0</v>
      </c>
      <c r="P283" s="13">
        <f t="shared" si="17"/>
        <v>0</v>
      </c>
      <c r="Q283" s="11" t="str">
        <f t="shared" si="18"/>
        <v/>
      </c>
      <c r="R283" s="11" t="str">
        <f t="shared" si="19"/>
        <v/>
      </c>
    </row>
    <row r="284" spans="1:18" x14ac:dyDescent="0.25">
      <c r="A284" s="10"/>
      <c r="F284" s="11">
        <f>IF(E284="Pass",IFERROR(INDEX(Config!$F$4:$F$5,MATCH(C284,Config!$E$4:$E$5,0)),0),0)</f>
        <v>0</v>
      </c>
      <c r="G284" s="12"/>
      <c r="H284" s="12" t="str">
        <f>IF(C284="Forecasting",IFERROR(INDEX(Config!$B$4:$B$6,MATCH(D284,Config!$A$4:$A$6,0)),""),"")</f>
        <v/>
      </c>
      <c r="I28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4" s="13">
        <f t="shared" si="16"/>
        <v>0</v>
      </c>
      <c r="K284" s="12"/>
      <c r="L284" s="13">
        <f>IF(K284="",0,IF(K284&gt;=Config!$B$12,0,IF(K284&gt;Config!$F$14,INDEX(Config!$H$4:$H$5,MATCH(C284,Config!$E$4:$E$5,0))*Config!$F$11,INDEX(Config!$H$4:$H$5,MATCH(C284,Config!$E$4:$E$5,0)))))</f>
        <v>0</v>
      </c>
      <c r="M284" s="13">
        <f>IF(K284="",0,IF(K284&gt;=Config!$B$12,0,IF(K284&gt;=0.96,0,IF(K284&gt;=0.9,Config!$F$12,Config!$F$13))))</f>
        <v>0</v>
      </c>
      <c r="O284" s="11">
        <f>IF(N284="Pass",IFERROR(INDEX(Config!$I$4:$I$5,MATCH(C284,Config!$E$4:$E$5,0)),0),0)</f>
        <v>0</v>
      </c>
      <c r="P284" s="13">
        <f t="shared" si="17"/>
        <v>0</v>
      </c>
      <c r="Q284" s="11" t="str">
        <f t="shared" si="18"/>
        <v/>
      </c>
      <c r="R284" s="11" t="str">
        <f t="shared" si="19"/>
        <v/>
      </c>
    </row>
    <row r="285" spans="1:18" x14ac:dyDescent="0.25">
      <c r="A285" s="10"/>
      <c r="F285" s="11">
        <f>IF(E285="Pass",IFERROR(INDEX(Config!$F$4:$F$5,MATCH(C285,Config!$E$4:$E$5,0)),0),0)</f>
        <v>0</v>
      </c>
      <c r="G285" s="12"/>
      <c r="H285" s="12" t="str">
        <f>IF(C285="Forecasting",IFERROR(INDEX(Config!$B$4:$B$6,MATCH(D285,Config!$A$4:$A$6,0)),""),"")</f>
        <v/>
      </c>
      <c r="I28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5" s="13">
        <f t="shared" si="16"/>
        <v>0</v>
      </c>
      <c r="K285" s="12"/>
      <c r="L285" s="13">
        <f>IF(K285="",0,IF(K285&gt;=Config!$B$12,0,IF(K285&gt;Config!$F$14,INDEX(Config!$H$4:$H$5,MATCH(C285,Config!$E$4:$E$5,0))*Config!$F$11,INDEX(Config!$H$4:$H$5,MATCH(C285,Config!$E$4:$E$5,0)))))</f>
        <v>0</v>
      </c>
      <c r="M285" s="13">
        <f>IF(K285="",0,IF(K285&gt;=Config!$B$12,0,IF(K285&gt;=0.96,0,IF(K285&gt;=0.9,Config!$F$12,Config!$F$13))))</f>
        <v>0</v>
      </c>
      <c r="O285" s="11">
        <f>IF(N285="Pass",IFERROR(INDEX(Config!$I$4:$I$5,MATCH(C285,Config!$E$4:$E$5,0)),0),0)</f>
        <v>0</v>
      </c>
      <c r="P285" s="13">
        <f t="shared" si="17"/>
        <v>0</v>
      </c>
      <c r="Q285" s="11" t="str">
        <f t="shared" si="18"/>
        <v/>
      </c>
      <c r="R285" s="11" t="str">
        <f t="shared" si="19"/>
        <v/>
      </c>
    </row>
    <row r="286" spans="1:18" x14ac:dyDescent="0.25">
      <c r="A286" s="10"/>
      <c r="F286" s="11">
        <f>IF(E286="Pass",IFERROR(INDEX(Config!$F$4:$F$5,MATCH(C286,Config!$E$4:$E$5,0)),0),0)</f>
        <v>0</v>
      </c>
      <c r="G286" s="12"/>
      <c r="H286" s="12" t="str">
        <f>IF(C286="Forecasting",IFERROR(INDEX(Config!$B$4:$B$6,MATCH(D286,Config!$A$4:$A$6,0)),""),"")</f>
        <v/>
      </c>
      <c r="I28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6" s="13">
        <f t="shared" si="16"/>
        <v>0</v>
      </c>
      <c r="K286" s="12"/>
      <c r="L286" s="13">
        <f>IF(K286="",0,IF(K286&gt;=Config!$B$12,0,IF(K286&gt;Config!$F$14,INDEX(Config!$H$4:$H$5,MATCH(C286,Config!$E$4:$E$5,0))*Config!$F$11,INDEX(Config!$H$4:$H$5,MATCH(C286,Config!$E$4:$E$5,0)))))</f>
        <v>0</v>
      </c>
      <c r="M286" s="13">
        <f>IF(K286="",0,IF(K286&gt;=Config!$B$12,0,IF(K286&gt;=0.96,0,IF(K286&gt;=0.9,Config!$F$12,Config!$F$13))))</f>
        <v>0</v>
      </c>
      <c r="O286" s="11">
        <f>IF(N286="Pass",IFERROR(INDEX(Config!$I$4:$I$5,MATCH(C286,Config!$E$4:$E$5,0)),0),0)</f>
        <v>0</v>
      </c>
      <c r="P286" s="13">
        <f t="shared" si="17"/>
        <v>0</v>
      </c>
      <c r="Q286" s="11" t="str">
        <f t="shared" si="18"/>
        <v/>
      </c>
      <c r="R286" s="11" t="str">
        <f t="shared" si="19"/>
        <v/>
      </c>
    </row>
    <row r="287" spans="1:18" x14ac:dyDescent="0.25">
      <c r="A287" s="10"/>
      <c r="F287" s="11">
        <f>IF(E287="Pass",IFERROR(INDEX(Config!$F$4:$F$5,MATCH(C287,Config!$E$4:$E$5,0)),0),0)</f>
        <v>0</v>
      </c>
      <c r="G287" s="12"/>
      <c r="H287" s="12" t="str">
        <f>IF(C287="Forecasting",IFERROR(INDEX(Config!$B$4:$B$6,MATCH(D287,Config!$A$4:$A$6,0)),""),"")</f>
        <v/>
      </c>
      <c r="I28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7" s="13">
        <f t="shared" si="16"/>
        <v>0</v>
      </c>
      <c r="K287" s="12"/>
      <c r="L287" s="13">
        <f>IF(K287="",0,IF(K287&gt;=Config!$B$12,0,IF(K287&gt;Config!$F$14,INDEX(Config!$H$4:$H$5,MATCH(C287,Config!$E$4:$E$5,0))*Config!$F$11,INDEX(Config!$H$4:$H$5,MATCH(C287,Config!$E$4:$E$5,0)))))</f>
        <v>0</v>
      </c>
      <c r="M287" s="13">
        <f>IF(K287="",0,IF(K287&gt;=Config!$B$12,0,IF(K287&gt;=0.96,0,IF(K287&gt;=0.9,Config!$F$12,Config!$F$13))))</f>
        <v>0</v>
      </c>
      <c r="O287" s="11">
        <f>IF(N287="Pass",IFERROR(INDEX(Config!$I$4:$I$5,MATCH(C287,Config!$E$4:$E$5,0)),0),0)</f>
        <v>0</v>
      </c>
      <c r="P287" s="13">
        <f t="shared" si="17"/>
        <v>0</v>
      </c>
      <c r="Q287" s="11" t="str">
        <f t="shared" si="18"/>
        <v/>
      </c>
      <c r="R287" s="11" t="str">
        <f t="shared" si="19"/>
        <v/>
      </c>
    </row>
    <row r="288" spans="1:18" x14ac:dyDescent="0.25">
      <c r="A288" s="10"/>
      <c r="F288" s="11">
        <f>IF(E288="Pass",IFERROR(INDEX(Config!$F$4:$F$5,MATCH(C288,Config!$E$4:$E$5,0)),0),0)</f>
        <v>0</v>
      </c>
      <c r="G288" s="12"/>
      <c r="H288" s="12" t="str">
        <f>IF(C288="Forecasting",IFERROR(INDEX(Config!$B$4:$B$6,MATCH(D288,Config!$A$4:$A$6,0)),""),"")</f>
        <v/>
      </c>
      <c r="I28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8" s="13">
        <f t="shared" si="16"/>
        <v>0</v>
      </c>
      <c r="K288" s="12"/>
      <c r="L288" s="13">
        <f>IF(K288="",0,IF(K288&gt;=Config!$B$12,0,IF(K288&gt;Config!$F$14,INDEX(Config!$H$4:$H$5,MATCH(C288,Config!$E$4:$E$5,0))*Config!$F$11,INDEX(Config!$H$4:$H$5,MATCH(C288,Config!$E$4:$E$5,0)))))</f>
        <v>0</v>
      </c>
      <c r="M288" s="13">
        <f>IF(K288="",0,IF(K288&gt;=Config!$B$12,0,IF(K288&gt;=0.96,0,IF(K288&gt;=0.9,Config!$F$12,Config!$F$13))))</f>
        <v>0</v>
      </c>
      <c r="O288" s="11">
        <f>IF(N288="Pass",IFERROR(INDEX(Config!$I$4:$I$5,MATCH(C288,Config!$E$4:$E$5,0)),0),0)</f>
        <v>0</v>
      </c>
      <c r="P288" s="13">
        <f t="shared" si="17"/>
        <v>0</v>
      </c>
      <c r="Q288" s="11" t="str">
        <f t="shared" si="18"/>
        <v/>
      </c>
      <c r="R288" s="11" t="str">
        <f t="shared" si="19"/>
        <v/>
      </c>
    </row>
    <row r="289" spans="1:18" x14ac:dyDescent="0.25">
      <c r="A289" s="10"/>
      <c r="F289" s="11">
        <f>IF(E289="Pass",IFERROR(INDEX(Config!$F$4:$F$5,MATCH(C289,Config!$E$4:$E$5,0)),0),0)</f>
        <v>0</v>
      </c>
      <c r="G289" s="12"/>
      <c r="H289" s="12" t="str">
        <f>IF(C289="Forecasting",IFERROR(INDEX(Config!$B$4:$B$6,MATCH(D289,Config!$A$4:$A$6,0)),""),"")</f>
        <v/>
      </c>
      <c r="I28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89" s="13">
        <f t="shared" si="16"/>
        <v>0</v>
      </c>
      <c r="K289" s="12"/>
      <c r="L289" s="13">
        <f>IF(K289="",0,IF(K289&gt;=Config!$B$12,0,IF(K289&gt;Config!$F$14,INDEX(Config!$H$4:$H$5,MATCH(C289,Config!$E$4:$E$5,0))*Config!$F$11,INDEX(Config!$H$4:$H$5,MATCH(C289,Config!$E$4:$E$5,0)))))</f>
        <v>0</v>
      </c>
      <c r="M289" s="13">
        <f>IF(K289="",0,IF(K289&gt;=Config!$B$12,0,IF(K289&gt;=0.96,0,IF(K289&gt;=0.9,Config!$F$12,Config!$F$13))))</f>
        <v>0</v>
      </c>
      <c r="O289" s="11">
        <f>IF(N289="Pass",IFERROR(INDEX(Config!$I$4:$I$5,MATCH(C289,Config!$E$4:$E$5,0)),0),0)</f>
        <v>0</v>
      </c>
      <c r="P289" s="13">
        <f t="shared" si="17"/>
        <v>0</v>
      </c>
      <c r="Q289" s="11" t="str">
        <f t="shared" si="18"/>
        <v/>
      </c>
      <c r="R289" s="11" t="str">
        <f t="shared" si="19"/>
        <v/>
      </c>
    </row>
    <row r="290" spans="1:18" x14ac:dyDescent="0.25">
      <c r="A290" s="10"/>
      <c r="F290" s="11">
        <f>IF(E290="Pass",IFERROR(INDEX(Config!$F$4:$F$5,MATCH(C290,Config!$E$4:$E$5,0)),0),0)</f>
        <v>0</v>
      </c>
      <c r="G290" s="12"/>
      <c r="H290" s="12" t="str">
        <f>IF(C290="Forecasting",IFERROR(INDEX(Config!$B$4:$B$6,MATCH(D290,Config!$A$4:$A$6,0)),""),"")</f>
        <v/>
      </c>
      <c r="I29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0" s="13">
        <f t="shared" si="16"/>
        <v>0</v>
      </c>
      <c r="K290" s="12"/>
      <c r="L290" s="13">
        <f>IF(K290="",0,IF(K290&gt;=Config!$B$12,0,IF(K290&gt;Config!$F$14,INDEX(Config!$H$4:$H$5,MATCH(C290,Config!$E$4:$E$5,0))*Config!$F$11,INDEX(Config!$H$4:$H$5,MATCH(C290,Config!$E$4:$E$5,0)))))</f>
        <v>0</v>
      </c>
      <c r="M290" s="13">
        <f>IF(K290="",0,IF(K290&gt;=Config!$B$12,0,IF(K290&gt;=0.96,0,IF(K290&gt;=0.9,Config!$F$12,Config!$F$13))))</f>
        <v>0</v>
      </c>
      <c r="O290" s="11">
        <f>IF(N290="Pass",IFERROR(INDEX(Config!$I$4:$I$5,MATCH(C290,Config!$E$4:$E$5,0)),0),0)</f>
        <v>0</v>
      </c>
      <c r="P290" s="13">
        <f t="shared" si="17"/>
        <v>0</v>
      </c>
      <c r="Q290" s="11" t="str">
        <f t="shared" si="18"/>
        <v/>
      </c>
      <c r="R290" s="11" t="str">
        <f t="shared" si="19"/>
        <v/>
      </c>
    </row>
    <row r="291" spans="1:18" x14ac:dyDescent="0.25">
      <c r="A291" s="10"/>
      <c r="F291" s="11">
        <f>IF(E291="Pass",IFERROR(INDEX(Config!$F$4:$F$5,MATCH(C291,Config!$E$4:$E$5,0)),0),0)</f>
        <v>0</v>
      </c>
      <c r="G291" s="12"/>
      <c r="H291" s="12" t="str">
        <f>IF(C291="Forecasting",IFERROR(INDEX(Config!$B$4:$B$6,MATCH(D291,Config!$A$4:$A$6,0)),""),"")</f>
        <v/>
      </c>
      <c r="I29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1" s="13">
        <f t="shared" si="16"/>
        <v>0</v>
      </c>
      <c r="K291" s="12"/>
      <c r="L291" s="13">
        <f>IF(K291="",0,IF(K291&gt;=Config!$B$12,0,IF(K291&gt;Config!$F$14,INDEX(Config!$H$4:$H$5,MATCH(C291,Config!$E$4:$E$5,0))*Config!$F$11,INDEX(Config!$H$4:$H$5,MATCH(C291,Config!$E$4:$E$5,0)))))</f>
        <v>0</v>
      </c>
      <c r="M291" s="13">
        <f>IF(K291="",0,IF(K291&gt;=Config!$B$12,0,IF(K291&gt;=0.96,0,IF(K291&gt;=0.9,Config!$F$12,Config!$F$13))))</f>
        <v>0</v>
      </c>
      <c r="O291" s="11">
        <f>IF(N291="Pass",IFERROR(INDEX(Config!$I$4:$I$5,MATCH(C291,Config!$E$4:$E$5,0)),0),0)</f>
        <v>0</v>
      </c>
      <c r="P291" s="13">
        <f t="shared" si="17"/>
        <v>0</v>
      </c>
      <c r="Q291" s="11" t="str">
        <f t="shared" si="18"/>
        <v/>
      </c>
      <c r="R291" s="11" t="str">
        <f t="shared" si="19"/>
        <v/>
      </c>
    </row>
    <row r="292" spans="1:18" x14ac:dyDescent="0.25">
      <c r="A292" s="10"/>
      <c r="F292" s="11">
        <f>IF(E292="Pass",IFERROR(INDEX(Config!$F$4:$F$5,MATCH(C292,Config!$E$4:$E$5,0)),0),0)</f>
        <v>0</v>
      </c>
      <c r="G292" s="12"/>
      <c r="H292" s="12" t="str">
        <f>IF(C292="Forecasting",IFERROR(INDEX(Config!$B$4:$B$6,MATCH(D292,Config!$A$4:$A$6,0)),""),"")</f>
        <v/>
      </c>
      <c r="I29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2" s="13">
        <f t="shared" si="16"/>
        <v>0</v>
      </c>
      <c r="K292" s="12"/>
      <c r="L292" s="13">
        <f>IF(K292="",0,IF(K292&gt;=Config!$B$12,0,IF(K292&gt;Config!$F$14,INDEX(Config!$H$4:$H$5,MATCH(C292,Config!$E$4:$E$5,0))*Config!$F$11,INDEX(Config!$H$4:$H$5,MATCH(C292,Config!$E$4:$E$5,0)))))</f>
        <v>0</v>
      </c>
      <c r="M292" s="13">
        <f>IF(K292="",0,IF(K292&gt;=Config!$B$12,0,IF(K292&gt;=0.96,0,IF(K292&gt;=0.9,Config!$F$12,Config!$F$13))))</f>
        <v>0</v>
      </c>
      <c r="O292" s="11">
        <f>IF(N292="Pass",IFERROR(INDEX(Config!$I$4:$I$5,MATCH(C292,Config!$E$4:$E$5,0)),0),0)</f>
        <v>0</v>
      </c>
      <c r="P292" s="13">
        <f t="shared" si="17"/>
        <v>0</v>
      </c>
      <c r="Q292" s="11" t="str">
        <f t="shared" si="18"/>
        <v/>
      </c>
      <c r="R292" s="11" t="str">
        <f t="shared" si="19"/>
        <v/>
      </c>
    </row>
    <row r="293" spans="1:18" x14ac:dyDescent="0.25">
      <c r="A293" s="10"/>
      <c r="F293" s="11">
        <f>IF(E293="Pass",IFERROR(INDEX(Config!$F$4:$F$5,MATCH(C293,Config!$E$4:$E$5,0)),0),0)</f>
        <v>0</v>
      </c>
      <c r="G293" s="12"/>
      <c r="H293" s="12" t="str">
        <f>IF(C293="Forecasting",IFERROR(INDEX(Config!$B$4:$B$6,MATCH(D293,Config!$A$4:$A$6,0)),""),"")</f>
        <v/>
      </c>
      <c r="I293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3" s="13">
        <f t="shared" si="16"/>
        <v>0</v>
      </c>
      <c r="K293" s="12"/>
      <c r="L293" s="13">
        <f>IF(K293="",0,IF(K293&gt;=Config!$B$12,0,IF(K293&gt;Config!$F$14,INDEX(Config!$H$4:$H$5,MATCH(C293,Config!$E$4:$E$5,0))*Config!$F$11,INDEX(Config!$H$4:$H$5,MATCH(C293,Config!$E$4:$E$5,0)))))</f>
        <v>0</v>
      </c>
      <c r="M293" s="13">
        <f>IF(K293="",0,IF(K293&gt;=Config!$B$12,0,IF(K293&gt;=0.96,0,IF(K293&gt;=0.9,Config!$F$12,Config!$F$13))))</f>
        <v>0</v>
      </c>
      <c r="O293" s="11">
        <f>IF(N293="Pass",IFERROR(INDEX(Config!$I$4:$I$5,MATCH(C293,Config!$E$4:$E$5,0)),0),0)</f>
        <v>0</v>
      </c>
      <c r="P293" s="13">
        <f t="shared" si="17"/>
        <v>0</v>
      </c>
      <c r="Q293" s="11" t="str">
        <f t="shared" si="18"/>
        <v/>
      </c>
      <c r="R293" s="11" t="str">
        <f t="shared" si="19"/>
        <v/>
      </c>
    </row>
    <row r="294" spans="1:18" x14ac:dyDescent="0.25">
      <c r="A294" s="10"/>
      <c r="F294" s="11">
        <f>IF(E294="Pass",IFERROR(INDEX(Config!$F$4:$F$5,MATCH(C294,Config!$E$4:$E$5,0)),0),0)</f>
        <v>0</v>
      </c>
      <c r="G294" s="12"/>
      <c r="H294" s="12" t="str">
        <f>IF(C294="Forecasting",IFERROR(INDEX(Config!$B$4:$B$6,MATCH(D294,Config!$A$4:$A$6,0)),""),"")</f>
        <v/>
      </c>
      <c r="I294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4" s="13">
        <f t="shared" si="16"/>
        <v>0</v>
      </c>
      <c r="K294" s="12"/>
      <c r="L294" s="13">
        <f>IF(K294="",0,IF(K294&gt;=Config!$B$12,0,IF(K294&gt;Config!$F$14,INDEX(Config!$H$4:$H$5,MATCH(C294,Config!$E$4:$E$5,0))*Config!$F$11,INDEX(Config!$H$4:$H$5,MATCH(C294,Config!$E$4:$E$5,0)))))</f>
        <v>0</v>
      </c>
      <c r="M294" s="13">
        <f>IF(K294="",0,IF(K294&gt;=Config!$B$12,0,IF(K294&gt;=0.96,0,IF(K294&gt;=0.9,Config!$F$12,Config!$F$13))))</f>
        <v>0</v>
      </c>
      <c r="O294" s="11">
        <f>IF(N294="Pass",IFERROR(INDEX(Config!$I$4:$I$5,MATCH(C294,Config!$E$4:$E$5,0)),0),0)</f>
        <v>0</v>
      </c>
      <c r="P294" s="13">
        <f t="shared" si="17"/>
        <v>0</v>
      </c>
      <c r="Q294" s="11" t="str">
        <f t="shared" si="18"/>
        <v/>
      </c>
      <c r="R294" s="11" t="str">
        <f t="shared" si="19"/>
        <v/>
      </c>
    </row>
    <row r="295" spans="1:18" x14ac:dyDescent="0.25">
      <c r="A295" s="10"/>
      <c r="F295" s="11">
        <f>IF(E295="Pass",IFERROR(INDEX(Config!$F$4:$F$5,MATCH(C295,Config!$E$4:$E$5,0)),0),0)</f>
        <v>0</v>
      </c>
      <c r="G295" s="12"/>
      <c r="H295" s="12" t="str">
        <f>IF(C295="Forecasting",IFERROR(INDEX(Config!$B$4:$B$6,MATCH(D295,Config!$A$4:$A$6,0)),""),"")</f>
        <v/>
      </c>
      <c r="I295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5" s="13">
        <f t="shared" si="16"/>
        <v>0</v>
      </c>
      <c r="K295" s="12"/>
      <c r="L295" s="13">
        <f>IF(K295="",0,IF(K295&gt;=Config!$B$12,0,IF(K295&gt;Config!$F$14,INDEX(Config!$H$4:$H$5,MATCH(C295,Config!$E$4:$E$5,0))*Config!$F$11,INDEX(Config!$H$4:$H$5,MATCH(C295,Config!$E$4:$E$5,0)))))</f>
        <v>0</v>
      </c>
      <c r="M295" s="13">
        <f>IF(K295="",0,IF(K295&gt;=Config!$B$12,0,IF(K295&gt;=0.96,0,IF(K295&gt;=0.9,Config!$F$12,Config!$F$13))))</f>
        <v>0</v>
      </c>
      <c r="O295" s="11">
        <f>IF(N295="Pass",IFERROR(INDEX(Config!$I$4:$I$5,MATCH(C295,Config!$E$4:$E$5,0)),0),0)</f>
        <v>0</v>
      </c>
      <c r="P295" s="13">
        <f t="shared" si="17"/>
        <v>0</v>
      </c>
      <c r="Q295" s="11" t="str">
        <f t="shared" si="18"/>
        <v/>
      </c>
      <c r="R295" s="11" t="str">
        <f t="shared" si="19"/>
        <v/>
      </c>
    </row>
    <row r="296" spans="1:18" x14ac:dyDescent="0.25">
      <c r="A296" s="10"/>
      <c r="F296" s="11">
        <f>IF(E296="Pass",IFERROR(INDEX(Config!$F$4:$F$5,MATCH(C296,Config!$E$4:$E$5,0)),0),0)</f>
        <v>0</v>
      </c>
      <c r="G296" s="12"/>
      <c r="H296" s="12" t="str">
        <f>IF(C296="Forecasting",IFERROR(INDEX(Config!$B$4:$B$6,MATCH(D296,Config!$A$4:$A$6,0)),""),"")</f>
        <v/>
      </c>
      <c r="I296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6" s="13">
        <f t="shared" si="16"/>
        <v>0</v>
      </c>
      <c r="K296" s="12"/>
      <c r="L296" s="13">
        <f>IF(K296="",0,IF(K296&gt;=Config!$B$12,0,IF(K296&gt;Config!$F$14,INDEX(Config!$H$4:$H$5,MATCH(C296,Config!$E$4:$E$5,0))*Config!$F$11,INDEX(Config!$H$4:$H$5,MATCH(C296,Config!$E$4:$E$5,0)))))</f>
        <v>0</v>
      </c>
      <c r="M296" s="13">
        <f>IF(K296="",0,IF(K296&gt;=Config!$B$12,0,IF(K296&gt;=0.96,0,IF(K296&gt;=0.9,Config!$F$12,Config!$F$13))))</f>
        <v>0</v>
      </c>
      <c r="O296" s="11">
        <f>IF(N296="Pass",IFERROR(INDEX(Config!$I$4:$I$5,MATCH(C296,Config!$E$4:$E$5,0)),0),0)</f>
        <v>0</v>
      </c>
      <c r="P296" s="13">
        <f t="shared" si="17"/>
        <v>0</v>
      </c>
      <c r="Q296" s="11" t="str">
        <f t="shared" si="18"/>
        <v/>
      </c>
      <c r="R296" s="11" t="str">
        <f t="shared" si="19"/>
        <v/>
      </c>
    </row>
    <row r="297" spans="1:18" x14ac:dyDescent="0.25">
      <c r="A297" s="10"/>
      <c r="F297" s="11">
        <f>IF(E297="Pass",IFERROR(INDEX(Config!$F$4:$F$5,MATCH(C297,Config!$E$4:$E$5,0)),0),0)</f>
        <v>0</v>
      </c>
      <c r="G297" s="12"/>
      <c r="H297" s="12" t="str">
        <f>IF(C297="Forecasting",IFERROR(INDEX(Config!$B$4:$B$6,MATCH(D297,Config!$A$4:$A$6,0)),""),"")</f>
        <v/>
      </c>
      <c r="I297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7" s="13">
        <f t="shared" si="16"/>
        <v>0</v>
      </c>
      <c r="K297" s="12"/>
      <c r="L297" s="13">
        <f>IF(K297="",0,IF(K297&gt;=Config!$B$12,0,IF(K297&gt;Config!$F$14,INDEX(Config!$H$4:$H$5,MATCH(C297,Config!$E$4:$E$5,0))*Config!$F$11,INDEX(Config!$H$4:$H$5,MATCH(C297,Config!$E$4:$E$5,0)))))</f>
        <v>0</v>
      </c>
      <c r="M297" s="13">
        <f>IF(K297="",0,IF(K297&gt;=Config!$B$12,0,IF(K297&gt;=0.96,0,IF(K297&gt;=0.9,Config!$F$12,Config!$F$13))))</f>
        <v>0</v>
      </c>
      <c r="O297" s="11">
        <f>IF(N297="Pass",IFERROR(INDEX(Config!$I$4:$I$5,MATCH(C297,Config!$E$4:$E$5,0)),0),0)</f>
        <v>0</v>
      </c>
      <c r="P297" s="13">
        <f t="shared" si="17"/>
        <v>0</v>
      </c>
      <c r="Q297" s="11" t="str">
        <f t="shared" si="18"/>
        <v/>
      </c>
      <c r="R297" s="11" t="str">
        <f t="shared" si="19"/>
        <v/>
      </c>
    </row>
    <row r="298" spans="1:18" x14ac:dyDescent="0.25">
      <c r="A298" s="10"/>
      <c r="F298" s="11">
        <f>IF(E298="Pass",IFERROR(INDEX(Config!$F$4:$F$5,MATCH(C298,Config!$E$4:$E$5,0)),0),0)</f>
        <v>0</v>
      </c>
      <c r="G298" s="12"/>
      <c r="H298" s="12" t="str">
        <f>IF(C298="Forecasting",IFERROR(INDEX(Config!$B$4:$B$6,MATCH(D298,Config!$A$4:$A$6,0)),""),"")</f>
        <v/>
      </c>
      <c r="I298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8" s="13">
        <f t="shared" si="16"/>
        <v>0</v>
      </c>
      <c r="K298" s="12"/>
      <c r="L298" s="13">
        <f>IF(K298="",0,IF(K298&gt;=Config!$B$12,0,IF(K298&gt;Config!$F$14,INDEX(Config!$H$4:$H$5,MATCH(C298,Config!$E$4:$E$5,0))*Config!$F$11,INDEX(Config!$H$4:$H$5,MATCH(C298,Config!$E$4:$E$5,0)))))</f>
        <v>0</v>
      </c>
      <c r="M298" s="13">
        <f>IF(K298="",0,IF(K298&gt;=Config!$B$12,0,IF(K298&gt;=0.96,0,IF(K298&gt;=0.9,Config!$F$12,Config!$F$13))))</f>
        <v>0</v>
      </c>
      <c r="O298" s="11">
        <f>IF(N298="Pass",IFERROR(INDEX(Config!$I$4:$I$5,MATCH(C298,Config!$E$4:$E$5,0)),0),0)</f>
        <v>0</v>
      </c>
      <c r="P298" s="13">
        <f t="shared" si="17"/>
        <v>0</v>
      </c>
      <c r="Q298" s="11" t="str">
        <f t="shared" si="18"/>
        <v/>
      </c>
      <c r="R298" s="11" t="str">
        <f t="shared" si="19"/>
        <v/>
      </c>
    </row>
    <row r="299" spans="1:18" x14ac:dyDescent="0.25">
      <c r="A299" s="10"/>
      <c r="F299" s="11">
        <f>IF(E299="Pass",IFERROR(INDEX(Config!$F$4:$F$5,MATCH(C299,Config!$E$4:$E$5,0)),0),0)</f>
        <v>0</v>
      </c>
      <c r="G299" s="12"/>
      <c r="H299" s="12" t="str">
        <f>IF(C299="Forecasting",IFERROR(INDEX(Config!$B$4:$B$6,MATCH(D299,Config!$A$4:$A$6,0)),""),"")</f>
        <v/>
      </c>
      <c r="I299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299" s="13">
        <f t="shared" si="16"/>
        <v>0</v>
      </c>
      <c r="K299" s="12"/>
      <c r="L299" s="13">
        <f>IF(K299="",0,IF(K299&gt;=Config!$B$12,0,IF(K299&gt;Config!$F$14,INDEX(Config!$H$4:$H$5,MATCH(C299,Config!$E$4:$E$5,0))*Config!$F$11,INDEX(Config!$H$4:$H$5,MATCH(C299,Config!$E$4:$E$5,0)))))</f>
        <v>0</v>
      </c>
      <c r="M299" s="13">
        <f>IF(K299="",0,IF(K299&gt;=Config!$B$12,0,IF(K299&gt;=0.96,0,IF(K299&gt;=0.9,Config!$F$12,Config!$F$13))))</f>
        <v>0</v>
      </c>
      <c r="O299" s="11">
        <f>IF(N299="Pass",IFERROR(INDEX(Config!$I$4:$I$5,MATCH(C299,Config!$E$4:$E$5,0)),0),0)</f>
        <v>0</v>
      </c>
      <c r="P299" s="13">
        <f t="shared" si="17"/>
        <v>0</v>
      </c>
      <c r="Q299" s="11" t="str">
        <f t="shared" si="18"/>
        <v/>
      </c>
      <c r="R299" s="11" t="str">
        <f t="shared" si="19"/>
        <v/>
      </c>
    </row>
    <row r="300" spans="1:18" x14ac:dyDescent="0.25">
      <c r="A300" s="10"/>
      <c r="F300" s="11">
        <f>IF(E300="Pass",IFERROR(INDEX(Config!$F$4:$F$5,MATCH(C300,Config!$E$4:$E$5,0)),0),0)</f>
        <v>0</v>
      </c>
      <c r="G300" s="12"/>
      <c r="H300" s="12" t="str">
        <f>IF(C300="Forecasting",IFERROR(INDEX(Config!$B$4:$B$6,MATCH(D300,Config!$A$4:$A$6,0)),""),"")</f>
        <v/>
      </c>
      <c r="I300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300" s="13">
        <f t="shared" si="16"/>
        <v>0</v>
      </c>
      <c r="K300" s="12"/>
      <c r="L300" s="13">
        <f>IF(K300="",0,IF(K300&gt;=Config!$B$12,0,IF(K300&gt;Config!$F$14,INDEX(Config!$H$4:$H$5,MATCH(C300,Config!$E$4:$E$5,0))*Config!$F$11,INDEX(Config!$H$4:$H$5,MATCH(C300,Config!$E$4:$E$5,0)))))</f>
        <v>0</v>
      </c>
      <c r="M300" s="13">
        <f>IF(K300="",0,IF(K300&gt;=Config!$B$12,0,IF(K300&gt;=0.96,0,IF(K300&gt;=0.9,Config!$F$12,Config!$F$13))))</f>
        <v>0</v>
      </c>
      <c r="O300" s="11">
        <f>IF(N300="Pass",IFERROR(INDEX(Config!$I$4:$I$5,MATCH(C300,Config!$E$4:$E$5,0)),0),0)</f>
        <v>0</v>
      </c>
      <c r="P300" s="13">
        <f t="shared" si="17"/>
        <v>0</v>
      </c>
      <c r="Q300" s="11" t="str">
        <f t="shared" si="18"/>
        <v/>
      </c>
      <c r="R300" s="11" t="str">
        <f t="shared" si="19"/>
        <v/>
      </c>
    </row>
    <row r="301" spans="1:18" x14ac:dyDescent="0.25">
      <c r="A301" s="10"/>
      <c r="F301" s="11">
        <f>IF(E301="Pass",IFERROR(INDEX(Config!$F$4:$F$5,MATCH(C301,Config!$E$4:$E$5,0)),0),0)</f>
        <v>0</v>
      </c>
      <c r="G301" s="12"/>
      <c r="H301" s="12" t="str">
        <f>IF(C301="Forecasting",IFERROR(INDEX(Config!$B$4:$B$6,MATCH(D301,Config!$A$4:$A$6,0)),""),"")</f>
        <v/>
      </c>
      <c r="I301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301" s="13">
        <f t="shared" si="16"/>
        <v>0</v>
      </c>
      <c r="K301" s="12"/>
      <c r="L301" s="13">
        <f>IF(K301="",0,IF(K301&gt;=Config!$B$12,0,IF(K301&gt;Config!$F$14,INDEX(Config!$H$4:$H$5,MATCH(C301,Config!$E$4:$E$5,0))*Config!$F$11,INDEX(Config!$H$4:$H$5,MATCH(C301,Config!$E$4:$E$5,0)))))</f>
        <v>0</v>
      </c>
      <c r="M301" s="13">
        <f>IF(K301="",0,IF(K301&gt;=Config!$B$12,0,IF(K301&gt;=0.96,0,IF(K301&gt;=0.9,Config!$F$12,Config!$F$13))))</f>
        <v>0</v>
      </c>
      <c r="O301" s="11">
        <f>IF(N301="Pass",IFERROR(INDEX(Config!$I$4:$I$5,MATCH(C301,Config!$E$4:$E$5,0)),0),0)</f>
        <v>0</v>
      </c>
      <c r="P301" s="13">
        <f t="shared" si="17"/>
        <v>0</v>
      </c>
      <c r="Q301" s="11" t="str">
        <f t="shared" si="18"/>
        <v/>
      </c>
      <c r="R301" s="11" t="str">
        <f t="shared" si="19"/>
        <v/>
      </c>
    </row>
    <row r="302" spans="1:18" x14ac:dyDescent="0.25">
      <c r="A302" s="10"/>
      <c r="F302" s="11">
        <f>IF(E302="Pass",IFERROR(INDEX(Config!$F$4:$F$5,MATCH(C302,Config!$E$4:$E$5,0)),0),0)</f>
        <v>0</v>
      </c>
      <c r="G302" s="12"/>
      <c r="H302" s="12" t="str">
        <f>IF(C302="Forecasting",IFERROR(INDEX(Config!$B$4:$B$6,MATCH(D302,Config!$A$4:$A$6,0)),""),"")</f>
        <v/>
      </c>
      <c r="I302" s="13">
        <f>IF(C3&lt;&gt;"Forecasting",0,IF(G3="",0,IF(ROUND(G3,4)&gt;=ROUND(H3,4),INDEX(Config!$G$4:$G$5,MATCH(C3,Config!$E$4:$E$5,0)),IF(ROUND(G3,4)&gt;=ROUND(H3-INDEX(Config!$C$4:$C$6,MATCH(D3,Config!$A$4:$A$6,0)),4),((G3-(H3-INDEX(Config!$C$4:$C$6,MATCH(D3,Config!$A$4:$A$6,0))))/INDEX(Config!$C$4:$C$6,MATCH(D3,Config!$A$4:$A$6,0)))*INDEX(Config!$G$4:$G$5,MATCH(C3,Config!$E$4:$E$5,0)),0))))</f>
        <v>0</v>
      </c>
      <c r="J302" s="13">
        <f t="shared" si="16"/>
        <v>0</v>
      </c>
      <c r="K302" s="12"/>
      <c r="L302" s="13">
        <f>IF(K302="",0,IF(K302&gt;=Config!$B$12,0,IF(K302&gt;Config!$F$14,INDEX(Config!$H$4:$H$5,MATCH(C302,Config!$E$4:$E$5,0))*Config!$F$11,INDEX(Config!$H$4:$H$5,MATCH(C302,Config!$E$4:$E$5,0)))))</f>
        <v>0</v>
      </c>
      <c r="M302" s="13">
        <f>IF(K302="",0,IF(K302&gt;=Config!$B$12,0,IF(K302&gt;=0.96,0,IF(K302&gt;=0.9,Config!$F$12,Config!$F$13))))</f>
        <v>0</v>
      </c>
      <c r="O302" s="11">
        <f>IF(N302="Pass",IFERROR(INDEX(Config!$I$4:$I$5,MATCH(C302,Config!$E$4:$E$5,0)),0),0)</f>
        <v>0</v>
      </c>
      <c r="P302" s="13">
        <f t="shared" si="17"/>
        <v>0</v>
      </c>
      <c r="Q302" s="11" t="str">
        <f t="shared" si="18"/>
        <v/>
      </c>
      <c r="R302" s="11" t="str">
        <f t="shared" si="19"/>
        <v/>
      </c>
    </row>
  </sheetData>
  <sheetProtection algorithmName="SHA-512" hashValue="GH4uZY+482nmWd7b7B3Ma4uBu6jqaKTNMuD9hBUIUDF5JejHG3glV8mbeoA32lFXrQ+OOMsY9kyRaDSqZzFJSg==" saltValue="adIAUkBaseHjoRjXLf+oxw==" spinCount="100000" sheet="1" objects="1" scenarios="1"/>
  <autoFilter ref="A2:Q302" xr:uid="{00000000-0009-0000-0000-000001000000}"/>
  <conditionalFormatting sqref="P3:P302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dataValidations count="3">
    <dataValidation type="list" allowBlank="1" sqref="E3:E302 N3:N302" xr:uid="{00000000-0002-0000-0100-000000000000}">
      <formula1>"Pass,Fail"</formula1>
    </dataValidation>
    <dataValidation type="list" allowBlank="1" sqref="C3:C302" xr:uid="{00000000-0002-0000-0100-000001000000}">
      <formula1>"Forecasting,Nonforecasting"</formula1>
    </dataValidation>
    <dataValidation type="list" allowBlank="1" sqref="D3:D302" xr:uid="{00000000-0002-0000-0100-000002000000}">
      <formula1>"Tier 1,Tier 2,Tier 3"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J39"/>
  <sheetViews>
    <sheetView showGridLines="0" workbookViewId="0">
      <selection activeCell="L32" sqref="L32"/>
    </sheetView>
  </sheetViews>
  <sheetFormatPr defaultRowHeight="15" x14ac:dyDescent="0.25"/>
  <cols>
    <col min="1" max="1" width="40.7109375" customWidth="1"/>
    <col min="2" max="2" width="12.28515625" customWidth="1"/>
    <col min="3" max="3" width="10.85546875" customWidth="1"/>
    <col min="4" max="4" width="10.140625" customWidth="1"/>
    <col min="5" max="5" width="10" customWidth="1"/>
    <col min="6" max="6" width="10.5703125" customWidth="1"/>
    <col min="7" max="7" width="8" customWidth="1"/>
    <col min="8" max="8" width="17.85546875" customWidth="1"/>
    <col min="9" max="9" width="7.7109375" customWidth="1"/>
    <col min="10" max="10" width="8.85546875" hidden="1" customWidth="1"/>
  </cols>
  <sheetData>
    <row r="1" spans="1:10" ht="18.75" x14ac:dyDescent="0.3">
      <c r="A1" s="1" t="s">
        <v>190</v>
      </c>
      <c r="B1" s="1"/>
      <c r="C1" s="1"/>
      <c r="D1" s="1"/>
      <c r="E1" s="1"/>
      <c r="F1" s="1"/>
      <c r="G1" s="1"/>
    </row>
    <row r="2" spans="1:10" ht="15.75" x14ac:dyDescent="0.25">
      <c r="A2" s="14" t="s">
        <v>191</v>
      </c>
      <c r="B2" s="86">
        <v>46213</v>
      </c>
    </row>
    <row r="5" spans="1:10" x14ac:dyDescent="0.25">
      <c r="A5" s="2" t="s">
        <v>192</v>
      </c>
      <c r="B5" s="2"/>
      <c r="C5" s="2"/>
      <c r="D5" s="2"/>
      <c r="E5" s="2"/>
      <c r="F5" s="2"/>
      <c r="G5" s="2"/>
    </row>
    <row r="6" spans="1:10" x14ac:dyDescent="0.25">
      <c r="A6" s="66" t="s">
        <v>144</v>
      </c>
      <c r="B6" s="67" t="s">
        <v>193</v>
      </c>
      <c r="C6" s="67" t="s">
        <v>194</v>
      </c>
      <c r="D6" s="67" t="s">
        <v>195</v>
      </c>
      <c r="E6" s="67" t="s">
        <v>196</v>
      </c>
      <c r="F6" s="67" t="s">
        <v>197</v>
      </c>
      <c r="G6" s="67" t="s">
        <v>198</v>
      </c>
      <c r="H6" s="68" t="s">
        <v>199</v>
      </c>
    </row>
    <row r="7" spans="1:10" x14ac:dyDescent="0.25">
      <c r="A7" s="69" t="str" cm="1">
        <f t="array" ref="A7:F18">_xlfn.LET(_xlpm.depts,$J$7:$J$18,_xlpm.weekDate,$B$2,_xlpm.scores,ROUND(IFERROR(SUMIFS('Weekly Entry'!$P$3:$P$302,'Weekly Entry'!$B$3:$B$302,_xlpm.depts,'Weekly Entry'!$A$3:$A$302,_xlpm.weekDate),0),1),_xlpm.schedule,ROUND(IFERROR(SUMIFS('Weekly Entry'!$F$3:$F$302,'Weekly Entry'!$B$3:$B$302,_xlpm.depts,'Weekly Entry'!$A$3:$A$302,_xlpm.weekDate),0),1),_xlpm.forecast,ROUND(IFERROR(SUMIFS('Weekly Entry'!$I$3:$I$302,'Weekly Entry'!$B$3:$B$302,_xlpm.depts,'Weekly Entry'!$A$3:$A$302,_xlpm.weekDate),0),1),_xlpm.labor,ROUND(IFERROR(SUMIFS('Weekly Entry'!$L$3:$L$302,'Weekly Entry'!$B$3:$B$302,_xlpm.depts,'Weekly Entry'!$A$3:$A$302,_xlpm.weekDate),0),1),_xlpm.punch,ROUND(IFERROR(SUMIFS('Weekly Entry'!$O$3:$O$302,'Weekly Entry'!$B$3:$B$302,_xlpm.depts,'Weekly Entry'!$A$3:$A$302,_xlpm.weekDate),0),1),_xlpm.dataArray,_xlfn.HSTACK(_xlpm.depts,_xlpm.scores,_xlpm.schedule,_xlpm.forecast,_xlpm.labor,_xlpm.punch),_xlfn.SORTBY(_xlpm.dataArray,_xlpm.scores,-1))</f>
        <v>Nectar</v>
      </c>
      <c r="B7" s="70">
        <v>105</v>
      </c>
      <c r="C7" s="70">
        <v>30</v>
      </c>
      <c r="D7" s="70">
        <v>30</v>
      </c>
      <c r="E7" s="70">
        <v>30</v>
      </c>
      <c r="F7" s="70">
        <v>10</v>
      </c>
      <c r="G7" s="71">
        <f t="shared" ref="G7:G18" si="0">RANK(B7,$B$7:$B$18,0)</f>
        <v>1</v>
      </c>
      <c r="H7" s="72" t="str" cm="1">
        <f t="array" ref="H7">IFERROR(_xlfn.LET(
_xlpm.dept,A7,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_xlpm.change,IF(_xlpm.priorRank="","—",_xlpm.priorRank-G7),
IF(_xlpm.change="—","—",IF(_xlpm.change&gt;0,"▲"&amp;_xlpm.change,IF(_xlpm.change&lt;0,"▼"&amp;ABS(_xlpm.change),"—")))),"—")</f>
        <v>▲3</v>
      </c>
      <c r="J7" t="s">
        <v>172</v>
      </c>
    </row>
    <row r="8" spans="1:10" x14ac:dyDescent="0.25">
      <c r="A8" s="73" t="str">
        <v>Windows</v>
      </c>
      <c r="B8" s="74">
        <v>104</v>
      </c>
      <c r="C8" s="74">
        <v>30</v>
      </c>
      <c r="D8" s="74">
        <v>30</v>
      </c>
      <c r="E8" s="74">
        <v>30</v>
      </c>
      <c r="F8" s="74">
        <v>10</v>
      </c>
      <c r="G8" s="75">
        <f t="shared" si="0"/>
        <v>2</v>
      </c>
      <c r="H8" s="72" t="str" cm="1">
        <f t="array" ref="H8">IFERROR(_xlfn.LET(
_xlpm.dept,A8,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_xlpm.change,IF(_xlpm.priorRank="","—",_xlpm.priorRank-G8),
IF(_xlpm.change="—","—",IF(_xlpm.change&gt;0,"▲"&amp;_xlpm.change,IF(_xlpm.change&lt;0,"▼"&amp;ABS(_xlpm.change),"—")))),"—")</f>
        <v>▼1</v>
      </c>
      <c r="J8" t="s">
        <v>165</v>
      </c>
    </row>
    <row r="9" spans="1:10" x14ac:dyDescent="0.25">
      <c r="A9" s="73" t="str">
        <v>IRD</v>
      </c>
      <c r="B9" s="74">
        <v>103.6</v>
      </c>
      <c r="C9" s="74">
        <v>30</v>
      </c>
      <c r="D9" s="74">
        <v>30</v>
      </c>
      <c r="E9" s="74">
        <v>30</v>
      </c>
      <c r="F9" s="74">
        <v>10</v>
      </c>
      <c r="G9" s="75">
        <f t="shared" si="0"/>
        <v>3</v>
      </c>
      <c r="H9" s="72" t="str" cm="1">
        <f t="array" ref="H9">IFERROR(_xlfn.LET(
_xlpm.dept,A9,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_xlpm.change,IF(_xlpm.priorRank="","—",_xlpm.priorRank-G9),
IF(_xlpm.change="—","—",IF(_xlpm.change&gt;0,"▲"&amp;_xlpm.change,IF(_xlpm.change&lt;0,"▼"&amp;ABS(_xlpm.change),"—")))),"—")</f>
        <v>—</v>
      </c>
      <c r="J9" t="s">
        <v>164</v>
      </c>
    </row>
    <row r="10" spans="1:10" x14ac:dyDescent="0.25">
      <c r="A10" s="73" t="str">
        <v>Garni</v>
      </c>
      <c r="B10" s="74">
        <v>103.6</v>
      </c>
      <c r="C10" s="74">
        <v>30</v>
      </c>
      <c r="D10" s="74">
        <v>30</v>
      </c>
      <c r="E10" s="74">
        <v>30</v>
      </c>
      <c r="F10" s="74">
        <v>10</v>
      </c>
      <c r="G10" s="75">
        <f t="shared" si="0"/>
        <v>3</v>
      </c>
      <c r="H10" s="72" t="str" cm="1">
        <f t="array" ref="H10">IFERROR(_xlfn.LET(
_xlpm.dept,A10,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_xlpm.change,IF(_xlpm.priorRank="","—",_xlpm.priorRank-G10),
IF(_xlpm.change="—","—",IF(_xlpm.change&gt;0,"▲"&amp;_xlpm.change,IF(_xlpm.change&lt;0,"▼"&amp;ABS(_xlpm.change),"—")))),"—")</f>
        <v>▲5</v>
      </c>
      <c r="J10" t="s">
        <v>166</v>
      </c>
    </row>
    <row r="11" spans="1:10" x14ac:dyDescent="0.25">
      <c r="A11" s="73" t="str">
        <v>Spa</v>
      </c>
      <c r="B11" s="74">
        <v>75</v>
      </c>
      <c r="C11" s="74">
        <v>30</v>
      </c>
      <c r="D11" s="74">
        <v>0</v>
      </c>
      <c r="E11" s="74">
        <v>30</v>
      </c>
      <c r="F11" s="74">
        <v>10</v>
      </c>
      <c r="G11" s="75">
        <f t="shared" si="0"/>
        <v>5</v>
      </c>
      <c r="H11" s="72" t="str" cm="1">
        <f t="array" ref="H11">IFERROR(_xlfn.LET(
_xlpm.dept,A11,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_xlpm.change,IF(_xlpm.priorRank="","—",_xlpm.priorRank-G11),
IF(_xlpm.change="—","—",IF(_xlpm.change&gt;0,"▲"&amp;_xlpm.change,IF(_xlpm.change&lt;0,"▼"&amp;ABS(_xlpm.change),"—")))),"—")</f>
        <v>▲5</v>
      </c>
      <c r="J11" t="s">
        <v>168</v>
      </c>
    </row>
    <row r="12" spans="1:10" x14ac:dyDescent="0.25">
      <c r="A12" s="73" t="str">
        <v>Calusso</v>
      </c>
      <c r="B12" s="74">
        <v>75</v>
      </c>
      <c r="C12" s="74">
        <v>30</v>
      </c>
      <c r="D12" s="74">
        <v>0</v>
      </c>
      <c r="E12" s="74">
        <v>30</v>
      </c>
      <c r="F12" s="74">
        <v>10</v>
      </c>
      <c r="G12" s="75">
        <f t="shared" si="0"/>
        <v>5</v>
      </c>
      <c r="H12" s="72" t="str" cm="1">
        <f t="array" ref="H12">IFERROR(_xlfn.LET(
_xlpm.dept,A12,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_xlpm.change,IF(_xlpm.priorRank="","—",_xlpm.priorRank-G12),
IF(_xlpm.change="—","—",IF(_xlpm.change&gt;0,"▲"&amp;_xlpm.change,IF(_xlpm.change&lt;0,"▼"&amp;ABS(_xlpm.change),"—")))),"—")</f>
        <v>▼3</v>
      </c>
      <c r="J12" t="s">
        <v>173</v>
      </c>
    </row>
    <row r="13" spans="1:10" x14ac:dyDescent="0.25">
      <c r="A13" s="73" t="str">
        <v>Pier Top</v>
      </c>
      <c r="B13" s="74">
        <v>73</v>
      </c>
      <c r="C13" s="74">
        <v>30</v>
      </c>
      <c r="D13" s="74">
        <v>0</v>
      </c>
      <c r="E13" s="74">
        <v>30</v>
      </c>
      <c r="F13" s="74">
        <v>10</v>
      </c>
      <c r="G13" s="75">
        <f t="shared" si="0"/>
        <v>7</v>
      </c>
      <c r="H13" s="72" t="str" cm="1">
        <f t="array" ref="H13">IFERROR(_xlfn.LET(
_xlpm.dept,A13,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_xlpm.change,IF(_xlpm.priorRank="","—",_xlpm.priorRank-G13),
IF(_xlpm.change="—","—",IF(_xlpm.change&gt;0,"▲"&amp;_xlpm.change,IF(_xlpm.change&lt;0,"▼"&amp;ABS(_xlpm.change),"—")))),"—")</f>
        <v>▲4</v>
      </c>
      <c r="J13" t="s">
        <v>169</v>
      </c>
    </row>
    <row r="14" spans="1:10" x14ac:dyDescent="0.25">
      <c r="A14" s="73" t="str">
        <v>Reservations</v>
      </c>
      <c r="B14" s="74">
        <v>73</v>
      </c>
      <c r="C14" s="74">
        <v>30</v>
      </c>
      <c r="D14" s="74">
        <v>10</v>
      </c>
      <c r="E14" s="74">
        <v>30</v>
      </c>
      <c r="F14" s="74">
        <v>0</v>
      </c>
      <c r="G14" s="75">
        <f t="shared" si="0"/>
        <v>7</v>
      </c>
      <c r="H14" s="72" t="str" cm="1">
        <f t="array" ref="H14">IFERROR(_xlfn.LET(
_xlpm.dept,A14,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_xlpm.change,IF(_xlpm.priorRank="","—",_xlpm.priorRank-G14),
IF(_xlpm.change="—","—",IF(_xlpm.change&gt;0,"▲"&amp;_xlpm.change,IF(_xlpm.change&lt;0,"▼"&amp;ABS(_xlpm.change),"—")))),"—")</f>
        <v>▲5</v>
      </c>
      <c r="J14" t="s">
        <v>160</v>
      </c>
    </row>
    <row r="15" spans="1:10" x14ac:dyDescent="0.25">
      <c r="A15" s="73" t="str">
        <v>Elate</v>
      </c>
      <c r="B15" s="74">
        <v>71</v>
      </c>
      <c r="C15" s="74">
        <v>30</v>
      </c>
      <c r="D15" s="74">
        <v>30</v>
      </c>
      <c r="E15" s="74">
        <v>0</v>
      </c>
      <c r="F15" s="74">
        <v>10</v>
      </c>
      <c r="G15" s="75">
        <f t="shared" si="0"/>
        <v>9</v>
      </c>
      <c r="H15" s="72" t="str" cm="1">
        <f t="array" ref="H15">IFERROR(_xlfn.LET(
_xlpm.dept,A15,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_xlpm.change,IF(_xlpm.priorRank="","—",_xlpm.priorRank-G15),
IF(_xlpm.change="—","—",IF(_xlpm.change&gt;0,"▲"&amp;_xlpm.change,IF(_xlpm.change&lt;0,"▼"&amp;ABS(_xlpm.change),"—")))),"—")</f>
        <v>▼3</v>
      </c>
      <c r="J15" t="s">
        <v>162</v>
      </c>
    </row>
    <row r="16" spans="1:10" x14ac:dyDescent="0.25">
      <c r="A16" s="73" t="str">
        <v>Saltbreeze</v>
      </c>
      <c r="B16" s="74">
        <v>63</v>
      </c>
      <c r="C16" s="74">
        <v>30</v>
      </c>
      <c r="D16" s="74">
        <v>0</v>
      </c>
      <c r="E16" s="74">
        <v>30</v>
      </c>
      <c r="F16" s="74">
        <v>0</v>
      </c>
      <c r="G16" s="75">
        <f t="shared" si="0"/>
        <v>10</v>
      </c>
      <c r="H16" s="72" t="str" cm="1">
        <f t="array" ref="H16">IFERROR(_xlfn.LET(
_xlpm.dept,A16,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_xlpm.change,IF(_xlpm.priorRank="","—",_xlpm.priorRank-G16),
IF(_xlpm.change="—","—",IF(_xlpm.change&gt;0,"▲"&amp;_xlpm.change,IF(_xlpm.change&lt;0,"▼"&amp;ABS(_xlpm.change),"—")))),"—")</f>
        <v>▼5</v>
      </c>
      <c r="J16" t="s">
        <v>167</v>
      </c>
    </row>
    <row r="17" spans="1:10" x14ac:dyDescent="0.25">
      <c r="A17" s="73" t="str">
        <v>Sotogrande</v>
      </c>
      <c r="B17" s="74">
        <v>40</v>
      </c>
      <c r="C17" s="74">
        <v>30</v>
      </c>
      <c r="D17" s="74">
        <v>0</v>
      </c>
      <c r="E17" s="74">
        <v>0</v>
      </c>
      <c r="F17" s="74">
        <v>10</v>
      </c>
      <c r="G17" s="75">
        <f t="shared" si="0"/>
        <v>11</v>
      </c>
      <c r="H17" s="72" t="str" cm="1">
        <f t="array" ref="H17">IFERROR(_xlfn.LET(
_xlpm.dept,A17,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_xlpm.change,IF(_xlpm.priorRank="","—",_xlpm.priorRank-G17),
IF(_xlpm.change="—","—",IF(_xlpm.change&gt;0,"▲"&amp;_xlpm.change,IF(_xlpm.change&lt;0,"▼"&amp;ABS(_xlpm.change),"—")))),"—")</f>
        <v>▼2</v>
      </c>
      <c r="J17" t="s">
        <v>170</v>
      </c>
    </row>
    <row r="18" spans="1:10" x14ac:dyDescent="0.25">
      <c r="A18" s="76" t="str">
        <v>Pool</v>
      </c>
      <c r="B18" s="77">
        <v>31</v>
      </c>
      <c r="C18" s="77">
        <v>30</v>
      </c>
      <c r="D18" s="77">
        <v>1</v>
      </c>
      <c r="E18" s="77">
        <v>0</v>
      </c>
      <c r="F18" s="77">
        <v>0</v>
      </c>
      <c r="G18" s="78">
        <f t="shared" si="0"/>
        <v>12</v>
      </c>
      <c r="H18" s="79" t="str" cm="1">
        <f t="array" ref="H18">IFERROR(_xlfn.LET(
_xlpm.dept,A18,
_xlpm.priorWeekDate,$B$2-7,
_xlpm.priorScore,SUMIFS('Weekly Entry'!$P$3:$P$302,'Weekly Entry'!$B$3:$B$302,_xlpm.dept,'Weekly Entry'!$A$3:$A$302,_xlpm.priorWeekDate),
_xlpm.higherCount,SUMPRODUCT((SUMIFS('Weekly Entry'!$P$3:$P$302,'Weekly Entry'!$B$3:$B$302,$A$7:$A$18,'Weekly Entry'!$A$3:$A$302,_xlpm.priorWeekDate)&gt;_xlpm.priorScore)*1),
_xlpm.priorRank,IF(_xlpm.priorScore=0,"",_xlpm.higherCount+1),
_xlpm.change,IF(_xlpm.priorRank="","—",_xlpm.priorRank-G18),
IF(_xlpm.change="—","—",IF(_xlpm.change&gt;0,"▲"&amp;_xlpm.change,IF(_xlpm.change&lt;0,"▼"&amp;ABS(_xlpm.change),"—")))),"—")</f>
        <v>▼5</v>
      </c>
      <c r="J18" t="s">
        <v>171</v>
      </c>
    </row>
    <row r="22" spans="1:10" x14ac:dyDescent="0.25">
      <c r="A22" s="14" t="s">
        <v>200</v>
      </c>
      <c r="B22" s="14"/>
      <c r="C22" s="14"/>
      <c r="D22" s="14"/>
      <c r="E22" s="14"/>
      <c r="F22" s="14"/>
      <c r="G22" s="14"/>
    </row>
    <row r="23" spans="1:10" x14ac:dyDescent="0.25">
      <c r="A23" s="66" t="s">
        <v>144</v>
      </c>
      <c r="B23" s="67" t="s">
        <v>193</v>
      </c>
      <c r="C23" s="67" t="s">
        <v>194</v>
      </c>
      <c r="D23" s="67" t="s">
        <v>196</v>
      </c>
      <c r="E23" s="67" t="s">
        <v>197</v>
      </c>
      <c r="F23" s="67"/>
      <c r="G23" s="67" t="s">
        <v>198</v>
      </c>
      <c r="H23" s="68" t="s">
        <v>199</v>
      </c>
    </row>
    <row r="24" spans="1:10" x14ac:dyDescent="0.25">
      <c r="A24" s="73" t="str" cm="1">
        <f t="array" ref="A24:E39">_xlfn.LET(_xlpm.depts,$J$24:$J$39,_xlpm.weekDate,$B$2,_xlpm.scores,ROUND(IFERROR(SUMIFS('Weekly Entry'!$P$3:$P$302,'Weekly Entry'!$B$3:$B$302,_xlpm.depts,'Weekly Entry'!$A$3:$A$302,_xlpm.weekDate),0),1),_xlpm.schedule,ROUND(IFERROR(SUMIFS('Weekly Entry'!$F$3:$F$302,'Weekly Entry'!$B$3:$B$302,_xlpm.depts,'Weekly Entry'!$A$3:$A$302,_xlpm.weekDate),0),1),_xlpm.labor,ROUND(IFERROR(SUMIFS('Weekly Entry'!$L$3:$L$302,'Weekly Entry'!$B$3:$B$302,_xlpm.depts,'Weekly Entry'!$A$3:$A$302,_xlpm.weekDate),0),1),_xlpm.punch,ROUND(IFERROR(SUMIFS('Weekly Entry'!$O$3:$O$302,'Weekly Entry'!$B$3:$B$302,_xlpm.depts,'Weekly Entry'!$A$3:$A$302,_xlpm.weekDate),0),1),_xlpm.dataArray,_xlfn.HSTACK(_xlpm.depts,_xlpm.scores,_xlpm.schedule,_xlpm.labor,_xlpm.punch),_xlfn.SORTBY(_xlpm.dataArray,_xlpm.scores,-1))</f>
        <v>Sotogrande BOH</v>
      </c>
      <c r="B24" s="74">
        <v>105</v>
      </c>
      <c r="C24" s="74">
        <v>30</v>
      </c>
      <c r="D24" s="74">
        <v>50</v>
      </c>
      <c r="E24" s="74">
        <v>20</v>
      </c>
      <c r="F24" s="80"/>
      <c r="G24" s="75">
        <f t="shared" ref="G24:G39" si="1">RANK(B24,$B$24:$B$39,0)</f>
        <v>1</v>
      </c>
      <c r="H24" s="72" t="str" cm="1">
        <f t="array" ref="H24">IFERROR(_xlfn.LET(
_xlpm.dept,A24,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_xlpm.change,IF(_xlpm.priorRank="","—",_xlpm.priorRank-G24),
IF(_xlpm.change="—","—",IF(_xlpm.change&gt;0,"▲"&amp;_xlpm.change,IF(_xlpm.change&lt;0,"▼"&amp;ABS(_xlpm.change),"—")))),"—")</f>
        <v>—</v>
      </c>
      <c r="J24" t="s">
        <v>187</v>
      </c>
    </row>
    <row r="25" spans="1:10" x14ac:dyDescent="0.25">
      <c r="A25" s="73" t="str">
        <v>Saltbreeze BOH</v>
      </c>
      <c r="B25" s="74">
        <v>103</v>
      </c>
      <c r="C25" s="74">
        <v>30</v>
      </c>
      <c r="D25" s="74">
        <v>50</v>
      </c>
      <c r="E25" s="74">
        <v>20</v>
      </c>
      <c r="F25" s="80"/>
      <c r="G25" s="75">
        <f t="shared" si="1"/>
        <v>2</v>
      </c>
      <c r="H25" s="72" t="str" cm="1">
        <f t="array" ref="H25">IFERROR(_xlfn.LET(
_xlpm.dept,A25,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_xlpm.change,IF(_xlpm.priorRank="","—",_xlpm.priorRank-G25),
IF(_xlpm.change="—","—",IF(_xlpm.change&gt;0,"▲"&amp;_xlpm.change,IF(_xlpm.change&lt;0,"▼"&amp;ABS(_xlpm.change),"—")))),"—")</f>
        <v>▲7</v>
      </c>
      <c r="J25" t="s">
        <v>184</v>
      </c>
    </row>
    <row r="26" spans="1:10" x14ac:dyDescent="0.25">
      <c r="A26" s="73" t="str">
        <v>Guest Services</v>
      </c>
      <c r="B26" s="74">
        <v>103</v>
      </c>
      <c r="C26" s="74">
        <v>30</v>
      </c>
      <c r="D26" s="74">
        <v>50</v>
      </c>
      <c r="E26" s="74">
        <v>20</v>
      </c>
      <c r="F26" s="80"/>
      <c r="G26" s="75">
        <f t="shared" si="1"/>
        <v>2</v>
      </c>
      <c r="H26" s="72" t="str" cm="1">
        <f t="array" ref="H26">IFERROR(_xlfn.LET(
_xlpm.dept,A26,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_xlpm.change,IF(_xlpm.priorRank="","—",_xlpm.priorRank-G26),
IF(_xlpm.change="—","—",IF(_xlpm.change&gt;0,"▲"&amp;_xlpm.change,IF(_xlpm.change&lt;0,"▼"&amp;ABS(_xlpm.change),"—")))),"—")</f>
        <v>▲2</v>
      </c>
      <c r="J26" t="s">
        <v>189</v>
      </c>
    </row>
    <row r="27" spans="1:10" x14ac:dyDescent="0.25">
      <c r="A27" s="73" t="str">
        <v>Bell Service</v>
      </c>
      <c r="B27" s="74">
        <v>103</v>
      </c>
      <c r="C27" s="74">
        <v>30</v>
      </c>
      <c r="D27" s="74">
        <v>50</v>
      </c>
      <c r="E27" s="74">
        <v>20</v>
      </c>
      <c r="F27" s="80"/>
      <c r="G27" s="75">
        <f t="shared" si="1"/>
        <v>2</v>
      </c>
      <c r="H27" s="72" t="str" cm="1">
        <f t="array" ref="H27">IFERROR(_xlfn.LET(
_xlpm.dept,A27,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_xlpm.change,IF(_xlpm.priorRank="","—",_xlpm.priorRank-G27),
IF(_xlpm.change="—","—",IF(_xlpm.change&gt;0,"▲"&amp;_xlpm.change,IF(_xlpm.change&lt;0,"▼"&amp;ABS(_xlpm.change),"—")))),"—")</f>
        <v>▲7</v>
      </c>
      <c r="J27" t="s">
        <v>175</v>
      </c>
    </row>
    <row r="28" spans="1:10" x14ac:dyDescent="0.25">
      <c r="A28" s="73" t="str">
        <v>Front Office</v>
      </c>
      <c r="B28" s="74">
        <v>103</v>
      </c>
      <c r="C28" s="74">
        <v>30</v>
      </c>
      <c r="D28" s="74">
        <v>50</v>
      </c>
      <c r="E28" s="74">
        <v>20</v>
      </c>
      <c r="F28" s="80"/>
      <c r="G28" s="75">
        <f t="shared" si="1"/>
        <v>2</v>
      </c>
      <c r="H28" s="72" t="str" cm="1">
        <f t="array" ref="H28">IFERROR(_xlfn.LET(
_xlpm.dept,A28,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_xlpm.change,IF(_xlpm.priorRank="","—",_xlpm.priorRank-G28),
IF(_xlpm.change="—","—",IF(_xlpm.change&gt;0,"▲"&amp;_xlpm.change,IF(_xlpm.change&lt;0,"▼"&amp;ABS(_xlpm.change),"—")))),"—")</f>
        <v>▲7</v>
      </c>
      <c r="J28" t="s">
        <v>176</v>
      </c>
    </row>
    <row r="29" spans="1:10" x14ac:dyDescent="0.25">
      <c r="A29" s="73" t="str">
        <v>Pastry</v>
      </c>
      <c r="B29" s="74">
        <v>100</v>
      </c>
      <c r="C29" s="74">
        <v>30</v>
      </c>
      <c r="D29" s="74">
        <v>50</v>
      </c>
      <c r="E29" s="74">
        <v>20</v>
      </c>
      <c r="F29" s="80"/>
      <c r="G29" s="75">
        <f t="shared" si="1"/>
        <v>6</v>
      </c>
      <c r="H29" s="72" t="str" cm="1">
        <f t="array" ref="H29">IFERROR(_xlfn.LET(
_xlpm.dept,A29,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_xlpm.change,IF(_xlpm.priorRank="","—",_xlpm.priorRank-G29),
IF(_xlpm.change="—","—",IF(_xlpm.change&gt;0,"▲"&amp;_xlpm.change,IF(_xlpm.change&lt;0,"▼"&amp;ABS(_xlpm.change),"—")))),"—")</f>
        <v>▼5</v>
      </c>
      <c r="J29" t="s">
        <v>186</v>
      </c>
    </row>
    <row r="30" spans="1:10" x14ac:dyDescent="0.25">
      <c r="A30" s="73" t="str">
        <v>Engineering</v>
      </c>
      <c r="B30" s="74">
        <v>100</v>
      </c>
      <c r="C30" s="74">
        <v>30</v>
      </c>
      <c r="D30" s="74">
        <v>50</v>
      </c>
      <c r="E30" s="74">
        <v>20</v>
      </c>
      <c r="F30" s="80"/>
      <c r="G30" s="75">
        <f t="shared" si="1"/>
        <v>6</v>
      </c>
      <c r="H30" s="72" t="str" cm="1">
        <f t="array" ref="H30">IFERROR(_xlfn.LET(
_xlpm.dept,A30,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_xlpm.change,IF(_xlpm.priorRank="","—",_xlpm.priorRank-G30),
IF(_xlpm.change="—","—",IF(_xlpm.change&gt;0,"▲"&amp;_xlpm.change,IF(_xlpm.change&lt;0,"▼"&amp;ABS(_xlpm.change),"—")))),"—")</f>
        <v>▲1</v>
      </c>
      <c r="J30" t="s">
        <v>185</v>
      </c>
    </row>
    <row r="31" spans="1:10" x14ac:dyDescent="0.25">
      <c r="A31" s="73" t="str">
        <v>Banquets FOH</v>
      </c>
      <c r="B31" s="74">
        <v>100</v>
      </c>
      <c r="C31" s="74">
        <v>30</v>
      </c>
      <c r="D31" s="74">
        <v>50</v>
      </c>
      <c r="E31" s="74">
        <v>20</v>
      </c>
      <c r="F31" s="80"/>
      <c r="G31" s="75">
        <f t="shared" si="1"/>
        <v>6</v>
      </c>
      <c r="H31" s="72" t="str" cm="1">
        <f t="array" ref="H31">IFERROR(_xlfn.LET(
_xlpm.dept,A31,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_xlpm.change,IF(_xlpm.priorRank="","—",_xlpm.priorRank-G31),
IF(_xlpm.change="—","—",IF(_xlpm.change&gt;0,"▲"&amp;_xlpm.change,IF(_xlpm.change&lt;0,"▼"&amp;ABS(_xlpm.change),"—")))),"—")</f>
        <v>▼2</v>
      </c>
      <c r="J31" t="s">
        <v>177</v>
      </c>
    </row>
    <row r="32" spans="1:10" x14ac:dyDescent="0.25">
      <c r="A32" s="73" t="str">
        <v>Security</v>
      </c>
      <c r="B32" s="74">
        <v>80</v>
      </c>
      <c r="C32" s="74">
        <v>30</v>
      </c>
      <c r="D32" s="74">
        <v>50</v>
      </c>
      <c r="E32" s="74">
        <v>0</v>
      </c>
      <c r="F32" s="80"/>
      <c r="G32" s="75">
        <f t="shared" si="1"/>
        <v>9</v>
      </c>
      <c r="H32" s="72" t="str" cm="1">
        <f t="array" ref="H32">IFERROR(_xlfn.LET(
_xlpm.dept,A32,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_xlpm.change,IF(_xlpm.priorRank="","—",_xlpm.priorRank-G32),
IF(_xlpm.change="—","—",IF(_xlpm.change&gt;0,"▲"&amp;_xlpm.change,IF(_xlpm.change&lt;0,"▼"&amp;ABS(_xlpm.change),"—")))),"—")</f>
        <v>▼2</v>
      </c>
      <c r="J32" t="s">
        <v>188</v>
      </c>
    </row>
    <row r="33" spans="1:10" x14ac:dyDescent="0.25">
      <c r="A33" s="73" t="str">
        <v>Calusso BOH</v>
      </c>
      <c r="B33" s="74">
        <v>75</v>
      </c>
      <c r="C33" s="74">
        <v>30</v>
      </c>
      <c r="D33" s="74">
        <v>45</v>
      </c>
      <c r="E33" s="74">
        <v>0</v>
      </c>
      <c r="F33" s="80"/>
      <c r="G33" s="75">
        <f t="shared" si="1"/>
        <v>10</v>
      </c>
      <c r="H33" s="72" t="str" cm="1">
        <f t="array" ref="H33">IFERROR(_xlfn.LET(
_xlpm.dept,A33,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_xlpm.change,IF(_xlpm.priorRank="","—",_xlpm.priorRank-G33),
IF(_xlpm.change="—","—",IF(_xlpm.change&gt;0,"▲"&amp;_xlpm.change,IF(_xlpm.change&lt;0,"▼"&amp;ABS(_xlpm.change),"—")))),"—")</f>
        <v>—</v>
      </c>
      <c r="J33" t="s">
        <v>174</v>
      </c>
    </row>
    <row r="34" spans="1:10" x14ac:dyDescent="0.25">
      <c r="A34" s="73" t="str">
        <v>Windows/IRD BOH</v>
      </c>
      <c r="B34" s="74">
        <v>73</v>
      </c>
      <c r="C34" s="74">
        <v>0</v>
      </c>
      <c r="D34" s="74">
        <v>50</v>
      </c>
      <c r="E34" s="74">
        <v>20</v>
      </c>
      <c r="F34" s="80"/>
      <c r="G34" s="75">
        <f t="shared" si="1"/>
        <v>11</v>
      </c>
      <c r="H34" s="72" t="str" cm="1">
        <f t="array" ref="H34">IFERROR(_xlfn.LET(
_xlpm.dept,A34,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_xlpm.change,IF(_xlpm.priorRank="","—",_xlpm.priorRank-G34),
IF(_xlpm.change="—","—",IF(_xlpm.change&gt;0,"▲"&amp;_xlpm.change,IF(_xlpm.change&lt;0,"▼"&amp;ABS(_xlpm.change),"—")))),"—")</f>
        <v>▼7</v>
      </c>
      <c r="J34" t="s">
        <v>178</v>
      </c>
    </row>
    <row r="35" spans="1:10" x14ac:dyDescent="0.25">
      <c r="A35" s="73" t="str">
        <v>Garni BOH</v>
      </c>
      <c r="B35" s="74">
        <v>53</v>
      </c>
      <c r="C35" s="74">
        <v>0</v>
      </c>
      <c r="D35" s="74">
        <v>50</v>
      </c>
      <c r="E35" s="74">
        <v>0</v>
      </c>
      <c r="F35" s="80"/>
      <c r="G35" s="75">
        <f t="shared" si="1"/>
        <v>12</v>
      </c>
      <c r="H35" s="72" t="str" cm="1">
        <f t="array" ref="H35">IFERROR(_xlfn.LET(
_xlpm.dept,A35,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_xlpm.change,IF(_xlpm.priorRank="","—",_xlpm.priorRank-G35),
IF(_xlpm.change="—","—",IF(_xlpm.change&gt;0,"▲"&amp;_xlpm.change,IF(_xlpm.change&lt;0,"▼"&amp;ABS(_xlpm.change),"—")))),"—")</f>
        <v>▼3</v>
      </c>
      <c r="J35" t="s">
        <v>183</v>
      </c>
    </row>
    <row r="36" spans="1:10" x14ac:dyDescent="0.25">
      <c r="A36" s="73" t="str">
        <v>Stewarding</v>
      </c>
      <c r="B36" s="74">
        <v>50</v>
      </c>
      <c r="C36" s="74">
        <v>0</v>
      </c>
      <c r="D36" s="74">
        <v>50</v>
      </c>
      <c r="E36" s="74">
        <v>0</v>
      </c>
      <c r="F36" s="80"/>
      <c r="G36" s="75">
        <f t="shared" si="1"/>
        <v>13</v>
      </c>
      <c r="H36" s="72" t="str" cm="1">
        <f t="array" ref="H36">IFERROR(_xlfn.LET(
_xlpm.dept,A36,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_xlpm.change,IF(_xlpm.priorRank="","—",_xlpm.priorRank-G36),
IF(_xlpm.change="—","—",IF(_xlpm.change&gt;0,"▲"&amp;_xlpm.change,IF(_xlpm.change&lt;0,"▼"&amp;ABS(_xlpm.change),"—")))),"—")</f>
        <v>▼12</v>
      </c>
      <c r="J36" t="s">
        <v>179</v>
      </c>
    </row>
    <row r="37" spans="1:10" x14ac:dyDescent="0.25">
      <c r="A37" s="73" t="str">
        <v>Housekeeping</v>
      </c>
      <c r="B37" s="74">
        <v>50</v>
      </c>
      <c r="C37" s="74">
        <v>30</v>
      </c>
      <c r="D37" s="74">
        <v>0</v>
      </c>
      <c r="E37" s="74">
        <v>20</v>
      </c>
      <c r="F37" s="80"/>
      <c r="G37" s="75">
        <f t="shared" si="1"/>
        <v>13</v>
      </c>
      <c r="H37" s="72" t="str" cm="1">
        <f t="array" ref="H37">IFERROR(_xlfn.LET(
_xlpm.dept,A37,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_xlpm.change,IF(_xlpm.priorRank="","—",_xlpm.priorRank-G37),
IF(_xlpm.change="—","—",IF(_xlpm.change&gt;0,"▲"&amp;_xlpm.change,IF(_xlpm.change&lt;0,"▼"&amp;ABS(_xlpm.change),"—")))),"—")</f>
        <v>—</v>
      </c>
      <c r="J37" t="s">
        <v>180</v>
      </c>
    </row>
    <row r="38" spans="1:10" x14ac:dyDescent="0.25">
      <c r="A38" s="73" t="str">
        <v>Pier Top BOH</v>
      </c>
      <c r="B38" s="74">
        <v>30</v>
      </c>
      <c r="C38" s="74">
        <v>30</v>
      </c>
      <c r="D38" s="74">
        <v>0</v>
      </c>
      <c r="E38" s="74">
        <v>0</v>
      </c>
      <c r="F38" s="80"/>
      <c r="G38" s="75">
        <f t="shared" si="1"/>
        <v>15</v>
      </c>
      <c r="H38" s="72" t="str" cm="1">
        <f t="array" ref="H38">IFERROR(_xlfn.LET(
_xlpm.dept,A38,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_xlpm.change,IF(_xlpm.priorRank="","—",_xlpm.priorRank-G38),
IF(_xlpm.change="—","—",IF(_xlpm.change&gt;0,"▲"&amp;_xlpm.change,IF(_xlpm.change&lt;0,"▼"&amp;ABS(_xlpm.change),"—")))),"—")</f>
        <v>▼1</v>
      </c>
      <c r="J38" t="s">
        <v>181</v>
      </c>
    </row>
    <row r="39" spans="1:10" x14ac:dyDescent="0.25">
      <c r="A39" s="76" t="str">
        <v>Banquets BOH</v>
      </c>
      <c r="B39" s="77">
        <v>0</v>
      </c>
      <c r="C39" s="77">
        <v>0</v>
      </c>
      <c r="D39" s="77">
        <v>0</v>
      </c>
      <c r="E39" s="77">
        <v>0</v>
      </c>
      <c r="F39" s="81"/>
      <c r="G39" s="78">
        <f t="shared" si="1"/>
        <v>16</v>
      </c>
      <c r="H39" s="79" t="str" cm="1">
        <f t="array" ref="H39">IFERROR(_xlfn.LET(
_xlpm.dept,A39,
_xlpm.priorWeekDate,$B$2-7,
_xlpm.priorScore,SUMIFS('Weekly Entry'!$P$3:$P$302,'Weekly Entry'!$B$3:$B$302,_xlpm.dept,'Weekly Entry'!$A$3:$A$302,_xlpm.priorWeekDate),
_xlpm.higherCount,SUMPRODUCT((SUMIFS('Weekly Entry'!$P$3:$P$302,'Weekly Entry'!$B$3:$B$302,$A$24:$A$39,'Weekly Entry'!$A$3:$A$302,_xlpm.priorWeekDate)&gt;_xlpm.priorScore)*1),
_xlpm.priorRank,IF(_xlpm.priorScore=0,"",_xlpm.higherCount+1),
_xlpm.change,IF(_xlpm.priorRank="","—",_xlpm.priorRank-G39),
IF(_xlpm.change="—","—",IF(_xlpm.change&gt;0,"▲"&amp;_xlpm.change,IF(_xlpm.change&lt;0,"▼"&amp;ABS(_xlpm.change),"—")))),"—")</f>
        <v>▼2</v>
      </c>
      <c r="J39" t="s">
        <v>182</v>
      </c>
    </row>
  </sheetData>
  <sheetProtection algorithmName="SHA-512" hashValue="5Yn3LVdUVlsL/7nSRff+SY2BZfFKJBa35DmiQdYmjJH0fcy3kcgHCSNFG+a3wUTLCDGBlc64GE+SKa80esLM0Q==" saltValue="QA3rTKHsaB1LDqxKLln5Og==" spinCount="100000" sheet="1" objects="1" scenarios="1"/>
  <conditionalFormatting sqref="H7:H18">
    <cfRule type="containsText" dxfId="11" priority="1" operator="containsText" text="▲">
      <formula>NOT(ISERROR(SEARCH("▲",H7)))</formula>
    </cfRule>
    <cfRule type="containsText" dxfId="10" priority="2" operator="containsText" text="▼">
      <formula>NOT(ISERROR(SEARCH("▼",H7)))</formula>
    </cfRule>
  </conditionalFormatting>
  <conditionalFormatting sqref="H24:H39">
    <cfRule type="containsText" dxfId="9" priority="3" operator="containsText" text="▲">
      <formula>NOT(ISERROR(SEARCH("▲",H24)))</formula>
    </cfRule>
    <cfRule type="containsText" dxfId="8" priority="4" operator="containsText" text="▼">
      <formula>NOT(ISERROR(SEARCH("▼",H24)))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I39"/>
  <sheetViews>
    <sheetView showGridLines="0" topLeftCell="A12" workbookViewId="0">
      <selection activeCell="B9" sqref="B9"/>
    </sheetView>
  </sheetViews>
  <sheetFormatPr defaultRowHeight="15" x14ac:dyDescent="0.25"/>
  <cols>
    <col min="1" max="1" width="39.140625" customWidth="1"/>
    <col min="2" max="2" width="13.7109375" customWidth="1"/>
    <col min="3" max="3" width="17.28515625" customWidth="1"/>
    <col min="4" max="4" width="10.140625" customWidth="1"/>
    <col min="5" max="5" width="10" customWidth="1"/>
    <col min="6" max="6" width="10.5703125" customWidth="1"/>
    <col min="7" max="7" width="8" customWidth="1"/>
    <col min="9" max="9" width="0" hidden="1" customWidth="1"/>
  </cols>
  <sheetData>
    <row r="1" spans="1:9" ht="18.75" x14ac:dyDescent="0.3">
      <c r="A1" s="1" t="s">
        <v>202</v>
      </c>
      <c r="B1" s="1"/>
      <c r="C1" s="1"/>
      <c r="D1" s="1"/>
      <c r="E1" s="1"/>
      <c r="F1" s="1"/>
      <c r="G1" s="1"/>
    </row>
    <row r="2" spans="1:9" ht="15.75" x14ac:dyDescent="0.25">
      <c r="A2" s="14" t="s">
        <v>203</v>
      </c>
      <c r="B2" s="15">
        <v>7</v>
      </c>
      <c r="C2" s="14" t="s">
        <v>204</v>
      </c>
      <c r="D2" s="15">
        <v>2026</v>
      </c>
    </row>
    <row r="5" spans="1:9" x14ac:dyDescent="0.25">
      <c r="A5" s="2" t="s">
        <v>192</v>
      </c>
      <c r="B5" s="2"/>
      <c r="C5" s="2"/>
      <c r="D5" s="2"/>
      <c r="E5" s="2"/>
      <c r="F5" s="2"/>
      <c r="G5" s="2"/>
    </row>
    <row r="6" spans="1:9" x14ac:dyDescent="0.25">
      <c r="A6" s="66" t="s">
        <v>144</v>
      </c>
      <c r="B6" s="67" t="s">
        <v>193</v>
      </c>
      <c r="C6" s="67" t="s">
        <v>194</v>
      </c>
      <c r="D6" s="67" t="s">
        <v>195</v>
      </c>
      <c r="E6" s="67" t="s">
        <v>196</v>
      </c>
      <c r="F6" s="67" t="s">
        <v>197</v>
      </c>
      <c r="G6" s="82" t="s">
        <v>198</v>
      </c>
    </row>
    <row r="7" spans="1:9" x14ac:dyDescent="0.25">
      <c r="A7" s="73" t="str" cm="1">
        <f t="array" ref="A7:F18">_xlfn.LET(_xlpm.depts,$I$7:$I$18,_xlpm.month,$B$2,_xlpm.year,$D$2,_xlpm.scores,ROUND(IFERROR(AVERAGEIFS('Weekly Entry'!$P$3:$P$302,'Weekly Entry'!$B$3:$B$302,_xlpm.depts,'Weekly Entry'!$Q$3:$Q$302,_xlpm.month,'Weekly Entry'!$R$3:$R$302,_xlpm.year),0),1),_xlpm.schedule,ROUND(IFERROR(AVERAGEIFS('Weekly Entry'!$F$3:$F$302,'Weekly Entry'!$B$3:$B$302,_xlpm.depts,'Weekly Entry'!$Q$3:$Q$302,_xlpm.month,'Weekly Entry'!$R$3:$R$302,_xlpm.year),0),1),_xlpm.forecast,ROUND(IFERROR(AVERAGEIFS('Weekly Entry'!$I$3:$I$302,'Weekly Entry'!$B$3:$B$302,_xlpm.depts,'Weekly Entry'!$Q$3:$Q$302,_xlpm.month,'Weekly Entry'!$R$3:$R$302,_xlpm.year),0),1),_xlpm.labor,ROUND(IFERROR(AVERAGEIFS('Weekly Entry'!$L$3:$L$302,'Weekly Entry'!$B$3:$B$302,_xlpm.depts,'Weekly Entry'!$Q$3:$Q$302,_xlpm.month,'Weekly Entry'!$R$3:$R$302,_xlpm.year),0),1),_xlpm.punch,ROUND(IFERROR(AVERAGEIFS('Weekly Entry'!$O$3:$O$302,'Weekly Entry'!$B$3:$B$302,_xlpm.depts,'Weekly Entry'!$Q$3:$Q$302,_xlpm.month,'Weekly Entry'!$R$3:$R$302,_xlpm.year),0),1),_xlpm.dataArray,_xlfn.HSTACK(_xlpm.depts,_xlpm.scores,_xlpm.schedule,_xlpm.forecast,_xlpm.labor,_xlpm.punch),_xlfn.SORTBY(_xlpm.dataArray,_xlpm.scores,-1))</f>
        <v>Windows</v>
      </c>
      <c r="B7" s="74">
        <v>106</v>
      </c>
      <c r="C7" s="74">
        <v>30</v>
      </c>
      <c r="D7" s="74">
        <v>30</v>
      </c>
      <c r="E7" s="74">
        <v>30</v>
      </c>
      <c r="F7" s="74">
        <v>10</v>
      </c>
      <c r="G7" s="83">
        <f t="shared" ref="G7:G18" si="0">RANK(B7,$B$7:$B$18,0)</f>
        <v>1</v>
      </c>
      <c r="I7" t="s">
        <v>172</v>
      </c>
    </row>
    <row r="8" spans="1:9" x14ac:dyDescent="0.25">
      <c r="A8" s="69" t="str">
        <v>Nectar</v>
      </c>
      <c r="B8" s="70">
        <v>104.5</v>
      </c>
      <c r="C8" s="70">
        <v>30</v>
      </c>
      <c r="D8" s="70">
        <v>30</v>
      </c>
      <c r="E8" s="70">
        <v>30</v>
      </c>
      <c r="F8" s="70">
        <v>10</v>
      </c>
      <c r="G8" s="84">
        <f t="shared" si="0"/>
        <v>2</v>
      </c>
      <c r="I8" t="s">
        <v>165</v>
      </c>
    </row>
    <row r="9" spans="1:9" x14ac:dyDescent="0.25">
      <c r="A9" s="73" t="str">
        <v>IRD</v>
      </c>
      <c r="B9" s="74">
        <v>104.2</v>
      </c>
      <c r="C9" s="74">
        <v>30</v>
      </c>
      <c r="D9" s="74">
        <v>30</v>
      </c>
      <c r="E9" s="74">
        <v>30</v>
      </c>
      <c r="F9" s="74">
        <v>10</v>
      </c>
      <c r="G9" s="83">
        <f t="shared" si="0"/>
        <v>3</v>
      </c>
      <c r="I9" t="s">
        <v>164</v>
      </c>
    </row>
    <row r="10" spans="1:9" x14ac:dyDescent="0.25">
      <c r="A10" s="73" t="str">
        <v>Garni</v>
      </c>
      <c r="B10" s="74">
        <v>99.1</v>
      </c>
      <c r="C10" s="74">
        <v>30</v>
      </c>
      <c r="D10" s="74">
        <v>30</v>
      </c>
      <c r="E10" s="74">
        <v>30</v>
      </c>
      <c r="F10" s="74">
        <v>5</v>
      </c>
      <c r="G10" s="83">
        <f t="shared" si="0"/>
        <v>4</v>
      </c>
      <c r="I10" t="s">
        <v>166</v>
      </c>
    </row>
    <row r="11" spans="1:9" x14ac:dyDescent="0.25">
      <c r="A11" s="73" t="str">
        <v>Calusso</v>
      </c>
      <c r="B11" s="74">
        <v>90.8</v>
      </c>
      <c r="C11" s="74">
        <v>30</v>
      </c>
      <c r="D11" s="74">
        <v>15</v>
      </c>
      <c r="E11" s="74">
        <v>30</v>
      </c>
      <c r="F11" s="74">
        <v>10</v>
      </c>
      <c r="G11" s="83">
        <f t="shared" si="0"/>
        <v>5</v>
      </c>
      <c r="I11" t="s">
        <v>168</v>
      </c>
    </row>
    <row r="12" spans="1:9" x14ac:dyDescent="0.25">
      <c r="A12" s="73" t="str">
        <v>Elate</v>
      </c>
      <c r="B12" s="74">
        <v>83.3</v>
      </c>
      <c r="C12" s="74">
        <v>30</v>
      </c>
      <c r="D12" s="74">
        <v>30</v>
      </c>
      <c r="E12" s="74">
        <v>15</v>
      </c>
      <c r="F12" s="74">
        <v>5</v>
      </c>
      <c r="G12" s="83">
        <f t="shared" si="0"/>
        <v>6</v>
      </c>
      <c r="I12" t="s">
        <v>173</v>
      </c>
    </row>
    <row r="13" spans="1:9" x14ac:dyDescent="0.25">
      <c r="A13" s="73" t="str">
        <v>Saltbreeze</v>
      </c>
      <c r="B13" s="74">
        <v>83</v>
      </c>
      <c r="C13" s="74">
        <v>30</v>
      </c>
      <c r="D13" s="74">
        <v>15</v>
      </c>
      <c r="E13" s="74">
        <v>30</v>
      </c>
      <c r="F13" s="74">
        <v>5</v>
      </c>
      <c r="G13" s="83">
        <f t="shared" si="0"/>
        <v>7</v>
      </c>
      <c r="I13" t="s">
        <v>169</v>
      </c>
    </row>
    <row r="14" spans="1:9" x14ac:dyDescent="0.25">
      <c r="A14" s="73" t="str">
        <v>Spa</v>
      </c>
      <c r="B14" s="74">
        <v>67.5</v>
      </c>
      <c r="C14" s="74">
        <v>30</v>
      </c>
      <c r="D14" s="74">
        <v>0</v>
      </c>
      <c r="E14" s="74">
        <v>30</v>
      </c>
      <c r="F14" s="74">
        <v>5</v>
      </c>
      <c r="G14" s="83">
        <f t="shared" si="0"/>
        <v>8</v>
      </c>
      <c r="I14" t="s">
        <v>160</v>
      </c>
    </row>
    <row r="15" spans="1:9" x14ac:dyDescent="0.25">
      <c r="A15" s="73" t="str">
        <v>Pool</v>
      </c>
      <c r="B15" s="74">
        <v>63.1</v>
      </c>
      <c r="C15" s="74">
        <v>30</v>
      </c>
      <c r="D15" s="74">
        <v>15.5</v>
      </c>
      <c r="E15" s="74">
        <v>15</v>
      </c>
      <c r="F15" s="74">
        <v>0</v>
      </c>
      <c r="G15" s="83">
        <f t="shared" si="0"/>
        <v>9</v>
      </c>
      <c r="I15" t="s">
        <v>162</v>
      </c>
    </row>
    <row r="16" spans="1:9" x14ac:dyDescent="0.25">
      <c r="A16" s="73" t="str">
        <v>Pier Top</v>
      </c>
      <c r="B16" s="74">
        <v>58</v>
      </c>
      <c r="C16" s="74">
        <v>15</v>
      </c>
      <c r="D16" s="74">
        <v>0</v>
      </c>
      <c r="E16" s="74">
        <v>30</v>
      </c>
      <c r="F16" s="74">
        <v>10</v>
      </c>
      <c r="G16" s="83">
        <f t="shared" si="0"/>
        <v>10</v>
      </c>
      <c r="I16" t="s">
        <v>167</v>
      </c>
    </row>
    <row r="17" spans="1:9" x14ac:dyDescent="0.25">
      <c r="A17" s="73" t="str">
        <v>Reservations</v>
      </c>
      <c r="B17" s="74">
        <v>51.5</v>
      </c>
      <c r="C17" s="74">
        <v>15</v>
      </c>
      <c r="D17" s="74">
        <v>5</v>
      </c>
      <c r="E17" s="74">
        <v>30</v>
      </c>
      <c r="F17" s="74">
        <v>0</v>
      </c>
      <c r="G17" s="83">
        <f t="shared" si="0"/>
        <v>11</v>
      </c>
      <c r="I17" t="s">
        <v>170</v>
      </c>
    </row>
    <row r="18" spans="1:9" x14ac:dyDescent="0.25">
      <c r="A18" s="76" t="str">
        <v>Sotogrande</v>
      </c>
      <c r="B18" s="77">
        <v>50.5</v>
      </c>
      <c r="C18" s="77">
        <v>30</v>
      </c>
      <c r="D18" s="77">
        <v>0.5</v>
      </c>
      <c r="E18" s="77">
        <v>15</v>
      </c>
      <c r="F18" s="77">
        <v>5</v>
      </c>
      <c r="G18" s="85">
        <f t="shared" si="0"/>
        <v>12</v>
      </c>
      <c r="I18" t="s">
        <v>171</v>
      </c>
    </row>
    <row r="22" spans="1:9" x14ac:dyDescent="0.25">
      <c r="A22" s="14" t="s">
        <v>200</v>
      </c>
      <c r="B22" s="14"/>
      <c r="C22" s="14"/>
      <c r="D22" s="14"/>
      <c r="E22" s="14"/>
      <c r="F22" s="14"/>
      <c r="G22" s="14"/>
    </row>
    <row r="23" spans="1:9" x14ac:dyDescent="0.25">
      <c r="A23" s="66" t="s">
        <v>144</v>
      </c>
      <c r="B23" s="67" t="s">
        <v>193</v>
      </c>
      <c r="C23" s="67" t="s">
        <v>194</v>
      </c>
      <c r="D23" s="67" t="s">
        <v>196</v>
      </c>
      <c r="E23" s="67" t="s">
        <v>197</v>
      </c>
      <c r="F23" s="67" t="s">
        <v>201</v>
      </c>
      <c r="G23" s="82" t="s">
        <v>198</v>
      </c>
    </row>
    <row r="24" spans="1:9" x14ac:dyDescent="0.25">
      <c r="A24" s="73" t="str" cm="1">
        <f t="array" ref="A24:E39">_xlfn.LET(_xlpm.depts,$I$24:$I$39,_xlpm.month,$B$2,_xlpm.year,$D$2,_xlpm.scores,ROUND(IFERROR(AVERAGEIFS('Weekly Entry'!$P$3:$P$302,'Weekly Entry'!$B$3:$B$302,_xlpm.depts,'Weekly Entry'!$Q$3:$Q$302,_xlpm.month,'Weekly Entry'!$R$3:$R$302,_xlpm.year),0),1),_xlpm.schedule,ROUND(IFERROR(AVERAGEIFS('Weekly Entry'!$F$3:$F$302,'Weekly Entry'!$B$3:$B$302,_xlpm.depts,'Weekly Entry'!$Q$3:$Q$302,_xlpm.month,'Weekly Entry'!$R$3:$R$302,_xlpm.year),0),1),_xlpm.labor,ROUND(IFERROR(AVERAGEIFS('Weekly Entry'!$L$3:$L$302,'Weekly Entry'!$B$3:$B$302,_xlpm.depts,'Weekly Entry'!$Q$3:$Q$302,_xlpm.month,'Weekly Entry'!$R$3:$R$302,_xlpm.year),0),1),_xlpm.punch,ROUND(IFERROR(AVERAGEIFS('Weekly Entry'!$O$3:$O$302,'Weekly Entry'!$B$3:$B$302,_xlpm.depts,'Weekly Entry'!$Q$3:$Q$302,_xlpm.month,'Weekly Entry'!$R$3:$R$302,_xlpm.year),0),1),_xlpm.dataArray,_xlfn.HSTACK(_xlpm.depts,_xlpm.scores,_xlpm.schedule,_xlpm.labor,_xlpm.punch),_xlfn.SORTBY(_xlpm.dataArray,_xlpm.scores,-1))</f>
        <v>Sotogrande BOH</v>
      </c>
      <c r="B24" s="74">
        <v>105</v>
      </c>
      <c r="C24" s="74">
        <v>30</v>
      </c>
      <c r="D24" s="74">
        <v>50</v>
      </c>
      <c r="E24" s="74">
        <v>20</v>
      </c>
      <c r="F24" s="80"/>
      <c r="G24" s="83">
        <f t="shared" ref="G24:G39" si="1">RANK(B24,$B$24:$B$39,0)</f>
        <v>1</v>
      </c>
      <c r="I24" t="s">
        <v>187</v>
      </c>
    </row>
    <row r="25" spans="1:9" x14ac:dyDescent="0.25">
      <c r="A25" s="73" t="str">
        <v>Guest Services</v>
      </c>
      <c r="B25" s="74">
        <v>103</v>
      </c>
      <c r="C25" s="74">
        <v>30</v>
      </c>
      <c r="D25" s="74">
        <v>50</v>
      </c>
      <c r="E25" s="74">
        <v>20</v>
      </c>
      <c r="F25" s="80"/>
      <c r="G25" s="83">
        <f t="shared" si="1"/>
        <v>2</v>
      </c>
      <c r="I25" t="s">
        <v>184</v>
      </c>
    </row>
    <row r="26" spans="1:9" x14ac:dyDescent="0.25">
      <c r="A26" s="73" t="str">
        <v>Pastry</v>
      </c>
      <c r="B26" s="74">
        <v>102.5</v>
      </c>
      <c r="C26" s="74">
        <v>30</v>
      </c>
      <c r="D26" s="74">
        <v>50</v>
      </c>
      <c r="E26" s="74">
        <v>20</v>
      </c>
      <c r="F26" s="80"/>
      <c r="G26" s="83">
        <f t="shared" si="1"/>
        <v>3</v>
      </c>
      <c r="I26" t="s">
        <v>189</v>
      </c>
    </row>
    <row r="27" spans="1:9" x14ac:dyDescent="0.25">
      <c r="A27" s="73" t="str">
        <v>Banquets FOH</v>
      </c>
      <c r="B27" s="74">
        <v>101.5</v>
      </c>
      <c r="C27" s="74">
        <v>30</v>
      </c>
      <c r="D27" s="74">
        <v>50</v>
      </c>
      <c r="E27" s="74">
        <v>20</v>
      </c>
      <c r="F27" s="80"/>
      <c r="G27" s="83">
        <f t="shared" si="1"/>
        <v>4</v>
      </c>
      <c r="I27" t="s">
        <v>175</v>
      </c>
    </row>
    <row r="28" spans="1:9" x14ac:dyDescent="0.25">
      <c r="A28" s="73" t="str">
        <v>Engineering</v>
      </c>
      <c r="B28" s="74">
        <v>100</v>
      </c>
      <c r="C28" s="74">
        <v>30</v>
      </c>
      <c r="D28" s="74">
        <v>50</v>
      </c>
      <c r="E28" s="74">
        <v>20</v>
      </c>
      <c r="F28" s="80"/>
      <c r="G28" s="83">
        <f t="shared" si="1"/>
        <v>5</v>
      </c>
      <c r="I28" t="s">
        <v>176</v>
      </c>
    </row>
    <row r="29" spans="1:9" x14ac:dyDescent="0.25">
      <c r="A29" s="73" t="str">
        <v>Saltbreeze BOH</v>
      </c>
      <c r="B29" s="74">
        <v>93</v>
      </c>
      <c r="C29" s="74">
        <v>30</v>
      </c>
      <c r="D29" s="74">
        <v>50</v>
      </c>
      <c r="E29" s="74">
        <v>10</v>
      </c>
      <c r="F29" s="80"/>
      <c r="G29" s="83">
        <f t="shared" si="1"/>
        <v>6</v>
      </c>
      <c r="I29" t="s">
        <v>186</v>
      </c>
    </row>
    <row r="30" spans="1:9" x14ac:dyDescent="0.25">
      <c r="A30" s="73" t="str">
        <v>Bell Service</v>
      </c>
      <c r="B30" s="74">
        <v>93</v>
      </c>
      <c r="C30" s="74">
        <v>30</v>
      </c>
      <c r="D30" s="74">
        <v>50</v>
      </c>
      <c r="E30" s="74">
        <v>10</v>
      </c>
      <c r="F30" s="80"/>
      <c r="G30" s="83">
        <f t="shared" si="1"/>
        <v>6</v>
      </c>
      <c r="I30" t="s">
        <v>185</v>
      </c>
    </row>
    <row r="31" spans="1:9" x14ac:dyDescent="0.25">
      <c r="A31" s="73" t="str">
        <v>Front Office</v>
      </c>
      <c r="B31" s="74">
        <v>93</v>
      </c>
      <c r="C31" s="74">
        <v>30</v>
      </c>
      <c r="D31" s="74">
        <v>50</v>
      </c>
      <c r="E31" s="74">
        <v>10</v>
      </c>
      <c r="F31" s="80"/>
      <c r="G31" s="83">
        <f t="shared" si="1"/>
        <v>6</v>
      </c>
      <c r="I31" t="s">
        <v>177</v>
      </c>
    </row>
    <row r="32" spans="1:9" x14ac:dyDescent="0.25">
      <c r="A32" s="73" t="str">
        <v>Security</v>
      </c>
      <c r="B32" s="74">
        <v>90</v>
      </c>
      <c r="C32" s="74">
        <v>30</v>
      </c>
      <c r="D32" s="74">
        <v>50</v>
      </c>
      <c r="E32" s="74">
        <v>10</v>
      </c>
      <c r="F32" s="80"/>
      <c r="G32" s="83">
        <f t="shared" si="1"/>
        <v>9</v>
      </c>
      <c r="I32" t="s">
        <v>188</v>
      </c>
    </row>
    <row r="33" spans="1:9" x14ac:dyDescent="0.25">
      <c r="A33" s="73" t="str">
        <v>Windows/IRD BOH</v>
      </c>
      <c r="B33" s="74">
        <v>88</v>
      </c>
      <c r="C33" s="74">
        <v>15</v>
      </c>
      <c r="D33" s="74">
        <v>50</v>
      </c>
      <c r="E33" s="74">
        <v>20</v>
      </c>
      <c r="F33" s="80"/>
      <c r="G33" s="83">
        <f t="shared" si="1"/>
        <v>10</v>
      </c>
      <c r="I33" t="s">
        <v>174</v>
      </c>
    </row>
    <row r="34" spans="1:9" x14ac:dyDescent="0.25">
      <c r="A34" s="73" t="str">
        <v>Stewarding</v>
      </c>
      <c r="B34" s="74">
        <v>77.5</v>
      </c>
      <c r="C34" s="74">
        <v>15</v>
      </c>
      <c r="D34" s="74">
        <v>50</v>
      </c>
      <c r="E34" s="74">
        <v>10</v>
      </c>
      <c r="F34" s="80"/>
      <c r="G34" s="83">
        <f t="shared" si="1"/>
        <v>11</v>
      </c>
      <c r="I34" t="s">
        <v>178</v>
      </c>
    </row>
    <row r="35" spans="1:9" x14ac:dyDescent="0.25">
      <c r="A35" s="73" t="str">
        <v>Garni BOH</v>
      </c>
      <c r="B35" s="74">
        <v>68</v>
      </c>
      <c r="C35" s="74">
        <v>15</v>
      </c>
      <c r="D35" s="74">
        <v>50</v>
      </c>
      <c r="E35" s="74">
        <v>0</v>
      </c>
      <c r="F35" s="80"/>
      <c r="G35" s="83">
        <f t="shared" si="1"/>
        <v>12</v>
      </c>
      <c r="I35" t="s">
        <v>183</v>
      </c>
    </row>
    <row r="36" spans="1:9" x14ac:dyDescent="0.25">
      <c r="A36" s="73" t="str">
        <v>Housekeeping</v>
      </c>
      <c r="B36" s="74">
        <v>50</v>
      </c>
      <c r="C36" s="74">
        <v>30</v>
      </c>
      <c r="D36" s="74">
        <v>0</v>
      </c>
      <c r="E36" s="74">
        <v>20</v>
      </c>
      <c r="F36" s="80"/>
      <c r="G36" s="83">
        <f t="shared" si="1"/>
        <v>13</v>
      </c>
      <c r="I36" t="s">
        <v>179</v>
      </c>
    </row>
    <row r="37" spans="1:9" x14ac:dyDescent="0.25">
      <c r="A37" s="73" t="str">
        <v>Calusso BOH</v>
      </c>
      <c r="B37" s="74">
        <v>37.5</v>
      </c>
      <c r="C37" s="74">
        <v>15</v>
      </c>
      <c r="D37" s="74">
        <v>22.5</v>
      </c>
      <c r="E37" s="74">
        <v>0</v>
      </c>
      <c r="F37" s="80"/>
      <c r="G37" s="83">
        <f t="shared" si="1"/>
        <v>14</v>
      </c>
      <c r="I37" t="s">
        <v>180</v>
      </c>
    </row>
    <row r="38" spans="1:9" x14ac:dyDescent="0.25">
      <c r="A38" s="73" t="str">
        <v>Pier Top BOH</v>
      </c>
      <c r="B38" s="74">
        <v>25</v>
      </c>
      <c r="C38" s="74">
        <v>15</v>
      </c>
      <c r="D38" s="74">
        <v>0</v>
      </c>
      <c r="E38" s="74">
        <v>10</v>
      </c>
      <c r="F38" s="80"/>
      <c r="G38" s="83">
        <f t="shared" si="1"/>
        <v>15</v>
      </c>
      <c r="I38" t="s">
        <v>181</v>
      </c>
    </row>
    <row r="39" spans="1:9" x14ac:dyDescent="0.25">
      <c r="A39" s="76" t="str">
        <v>Banquets BOH</v>
      </c>
      <c r="B39" s="77">
        <v>10</v>
      </c>
      <c r="C39" s="77">
        <v>0</v>
      </c>
      <c r="D39" s="77">
        <v>0</v>
      </c>
      <c r="E39" s="77">
        <v>10</v>
      </c>
      <c r="F39" s="81"/>
      <c r="G39" s="85">
        <f t="shared" si="1"/>
        <v>16</v>
      </c>
      <c r="I39" t="s">
        <v>182</v>
      </c>
    </row>
  </sheetData>
  <sheetProtection algorithmName="SHA-512" hashValue="fABI83dlxFqMdxGlWqNxIbiWUX+uXbP8giEgf9BeM8AdwWzsnmY5nc9uPrg/Wg3m450VKiTn8bDGKWThrNeOzg==" saltValue="tk51q47PgZp08ZZIovlOWg==" spinCount="100000" sheet="1" objects="1" scenarios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A1:I40"/>
  <sheetViews>
    <sheetView showGridLines="0" workbookViewId="0">
      <selection activeCell="J37" sqref="J37"/>
    </sheetView>
  </sheetViews>
  <sheetFormatPr defaultRowHeight="15" x14ac:dyDescent="0.25"/>
  <cols>
    <col min="1" max="1" width="32" customWidth="1"/>
    <col min="2" max="2" width="12.28515625" customWidth="1"/>
    <col min="3" max="3" width="10.85546875" customWidth="1"/>
    <col min="4" max="4" width="10.140625" customWidth="1"/>
    <col min="5" max="5" width="10" customWidth="1"/>
    <col min="6" max="6" width="10.5703125" customWidth="1"/>
    <col min="7" max="7" width="8" customWidth="1"/>
    <col min="9" max="9" width="0" hidden="1" customWidth="1"/>
  </cols>
  <sheetData>
    <row r="1" spans="1:9" ht="18.75" x14ac:dyDescent="0.3">
      <c r="A1" s="1" t="s">
        <v>205</v>
      </c>
      <c r="B1" s="1"/>
      <c r="C1" s="1"/>
      <c r="D1" s="1"/>
      <c r="E1" s="1"/>
      <c r="F1" s="1"/>
      <c r="G1" s="1"/>
    </row>
    <row r="2" spans="1:9" ht="15.75" x14ac:dyDescent="0.25">
      <c r="A2" s="14" t="s">
        <v>204</v>
      </c>
      <c r="B2" s="15">
        <v>2026</v>
      </c>
    </row>
    <row r="5" spans="1:9" x14ac:dyDescent="0.25">
      <c r="A5" s="2" t="s">
        <v>192</v>
      </c>
      <c r="B5" s="2"/>
      <c r="C5" s="2"/>
      <c r="D5" s="2"/>
      <c r="E5" s="2"/>
      <c r="F5" s="2"/>
      <c r="G5" s="2"/>
    </row>
    <row r="6" spans="1:9" x14ac:dyDescent="0.25">
      <c r="A6" s="66" t="s">
        <v>144</v>
      </c>
      <c r="B6" s="67" t="s">
        <v>193</v>
      </c>
      <c r="C6" s="67" t="s">
        <v>194</v>
      </c>
      <c r="D6" s="67" t="s">
        <v>195</v>
      </c>
      <c r="E6" s="67" t="s">
        <v>196</v>
      </c>
      <c r="F6" s="67" t="s">
        <v>197</v>
      </c>
      <c r="G6" s="82" t="s">
        <v>198</v>
      </c>
    </row>
    <row r="7" spans="1:9" x14ac:dyDescent="0.25">
      <c r="A7" s="69" t="str" cm="1">
        <f t="array" ref="A7:F18">_xlfn.LET(_xlpm.depts,$I$7:$I$18,_xlpm.year,$B$2,_xlpm.scores,ROUND(IFERROR(AVERAGEIFS('Weekly Entry'!$P$3:$P$302,'Weekly Entry'!$B$3:$B$302,_xlpm.depts,'Weekly Entry'!$R$3:$R$302,_xlpm.year),0),1),_xlpm.schedule,ROUND(IFERROR(AVERAGEIFS('Weekly Entry'!$F$3:$F$302,'Weekly Entry'!$B$3:$B$302,_xlpm.depts,'Weekly Entry'!$R$3:$R$302,_xlpm.year),0),1),_xlpm.forecast,ROUND(IFERROR(AVERAGEIFS('Weekly Entry'!$I$3:$I$302,'Weekly Entry'!$B$3:$B$302,_xlpm.depts,'Weekly Entry'!$R$3:$R$302,_xlpm.year),0),1),_xlpm.labor,ROUND(IFERROR(AVERAGEIFS('Weekly Entry'!$L$3:$L$302,'Weekly Entry'!$B$3:$B$302,_xlpm.depts,'Weekly Entry'!$R$3:$R$302,_xlpm.year),0),1),_xlpm.punch,ROUND(IFERROR(AVERAGEIFS('Weekly Entry'!$O$3:$O$302,'Weekly Entry'!$B$3:$B$302,_xlpm.depts,'Weekly Entry'!$R$3:$R$302,_xlpm.year),0),1),_xlpm.dataArray,_xlfn.HSTACK(_xlpm.depts,_xlpm.scores,_xlpm.schedule,_xlpm.forecast,_xlpm.labor,_xlpm.punch),_xlfn.SORTBY(_xlpm.dataArray,_xlpm.scores,-1))</f>
        <v>Windows</v>
      </c>
      <c r="B7" s="70">
        <v>106</v>
      </c>
      <c r="C7" s="70">
        <v>30</v>
      </c>
      <c r="D7" s="70">
        <v>30</v>
      </c>
      <c r="E7" s="70">
        <v>30</v>
      </c>
      <c r="F7" s="70">
        <v>10</v>
      </c>
      <c r="G7" s="84">
        <f t="shared" ref="G7:G18" si="0">RANK(B7,$B$7:$B$18,0)</f>
        <v>1</v>
      </c>
      <c r="I7" t="s">
        <v>172</v>
      </c>
    </row>
    <row r="8" spans="1:9" x14ac:dyDescent="0.25">
      <c r="A8" s="73" t="str">
        <v>Nectar</v>
      </c>
      <c r="B8" s="74">
        <v>104.5</v>
      </c>
      <c r="C8" s="74">
        <v>30</v>
      </c>
      <c r="D8" s="74">
        <v>30</v>
      </c>
      <c r="E8" s="74">
        <v>30</v>
      </c>
      <c r="F8" s="74">
        <v>10</v>
      </c>
      <c r="G8" s="83">
        <f t="shared" si="0"/>
        <v>2</v>
      </c>
      <c r="I8" t="s">
        <v>165</v>
      </c>
    </row>
    <row r="9" spans="1:9" x14ac:dyDescent="0.25">
      <c r="A9" s="73" t="str">
        <v>IRD</v>
      </c>
      <c r="B9" s="74">
        <v>104.2</v>
      </c>
      <c r="C9" s="74">
        <v>30</v>
      </c>
      <c r="D9" s="74">
        <v>30</v>
      </c>
      <c r="E9" s="74">
        <v>30</v>
      </c>
      <c r="F9" s="74">
        <v>10</v>
      </c>
      <c r="G9" s="83">
        <f t="shared" si="0"/>
        <v>3</v>
      </c>
      <c r="I9" t="s">
        <v>164</v>
      </c>
    </row>
    <row r="10" spans="1:9" x14ac:dyDescent="0.25">
      <c r="A10" s="73" t="str">
        <v>Garni</v>
      </c>
      <c r="B10" s="74">
        <v>99.1</v>
      </c>
      <c r="C10" s="74">
        <v>30</v>
      </c>
      <c r="D10" s="74">
        <v>30</v>
      </c>
      <c r="E10" s="74">
        <v>30</v>
      </c>
      <c r="F10" s="74">
        <v>5</v>
      </c>
      <c r="G10" s="83">
        <f t="shared" si="0"/>
        <v>4</v>
      </c>
      <c r="I10" t="s">
        <v>166</v>
      </c>
    </row>
    <row r="11" spans="1:9" x14ac:dyDescent="0.25">
      <c r="A11" s="73" t="str">
        <v>Calusso</v>
      </c>
      <c r="B11" s="74">
        <v>90.8</v>
      </c>
      <c r="C11" s="74">
        <v>30</v>
      </c>
      <c r="D11" s="74">
        <v>15</v>
      </c>
      <c r="E11" s="74">
        <v>30</v>
      </c>
      <c r="F11" s="74">
        <v>10</v>
      </c>
      <c r="G11" s="83">
        <f t="shared" si="0"/>
        <v>5</v>
      </c>
      <c r="I11" t="s">
        <v>168</v>
      </c>
    </row>
    <row r="12" spans="1:9" x14ac:dyDescent="0.25">
      <c r="A12" s="73" t="str">
        <v>Elate</v>
      </c>
      <c r="B12" s="74">
        <v>83.3</v>
      </c>
      <c r="C12" s="74">
        <v>30</v>
      </c>
      <c r="D12" s="74">
        <v>30</v>
      </c>
      <c r="E12" s="74">
        <v>15</v>
      </c>
      <c r="F12" s="74">
        <v>5</v>
      </c>
      <c r="G12" s="83">
        <f t="shared" si="0"/>
        <v>6</v>
      </c>
      <c r="I12" t="s">
        <v>173</v>
      </c>
    </row>
    <row r="13" spans="1:9" x14ac:dyDescent="0.25">
      <c r="A13" s="73" t="str">
        <v>Saltbreeze</v>
      </c>
      <c r="B13" s="74">
        <v>83</v>
      </c>
      <c r="C13" s="74">
        <v>30</v>
      </c>
      <c r="D13" s="74">
        <v>15</v>
      </c>
      <c r="E13" s="74">
        <v>30</v>
      </c>
      <c r="F13" s="74">
        <v>5</v>
      </c>
      <c r="G13" s="83">
        <f t="shared" si="0"/>
        <v>7</v>
      </c>
      <c r="I13" t="s">
        <v>169</v>
      </c>
    </row>
    <row r="14" spans="1:9" x14ac:dyDescent="0.25">
      <c r="A14" s="73" t="str">
        <v>Spa</v>
      </c>
      <c r="B14" s="74">
        <v>67.5</v>
      </c>
      <c r="C14" s="74">
        <v>30</v>
      </c>
      <c r="D14" s="74">
        <v>0</v>
      </c>
      <c r="E14" s="74">
        <v>30</v>
      </c>
      <c r="F14" s="74">
        <v>5</v>
      </c>
      <c r="G14" s="83">
        <f t="shared" si="0"/>
        <v>8</v>
      </c>
      <c r="I14" t="s">
        <v>160</v>
      </c>
    </row>
    <row r="15" spans="1:9" x14ac:dyDescent="0.25">
      <c r="A15" s="73" t="str">
        <v>Pool</v>
      </c>
      <c r="B15" s="74">
        <v>63.1</v>
      </c>
      <c r="C15" s="74">
        <v>30</v>
      </c>
      <c r="D15" s="74">
        <v>15.5</v>
      </c>
      <c r="E15" s="74">
        <v>15</v>
      </c>
      <c r="F15" s="74">
        <v>0</v>
      </c>
      <c r="G15" s="83">
        <f t="shared" si="0"/>
        <v>9</v>
      </c>
      <c r="I15" t="s">
        <v>162</v>
      </c>
    </row>
    <row r="16" spans="1:9" x14ac:dyDescent="0.25">
      <c r="A16" s="73" t="str">
        <v>Pier Top</v>
      </c>
      <c r="B16" s="74">
        <v>58</v>
      </c>
      <c r="C16" s="74">
        <v>15</v>
      </c>
      <c r="D16" s="74">
        <v>0</v>
      </c>
      <c r="E16" s="74">
        <v>30</v>
      </c>
      <c r="F16" s="74">
        <v>10</v>
      </c>
      <c r="G16" s="83">
        <f t="shared" si="0"/>
        <v>10</v>
      </c>
      <c r="I16" t="s">
        <v>167</v>
      </c>
    </row>
    <row r="17" spans="1:9" x14ac:dyDescent="0.25">
      <c r="A17" s="73" t="str">
        <v>Reservations</v>
      </c>
      <c r="B17" s="74">
        <v>51.5</v>
      </c>
      <c r="C17" s="74">
        <v>15</v>
      </c>
      <c r="D17" s="74">
        <v>5</v>
      </c>
      <c r="E17" s="74">
        <v>30</v>
      </c>
      <c r="F17" s="74">
        <v>0</v>
      </c>
      <c r="G17" s="83">
        <f t="shared" si="0"/>
        <v>11</v>
      </c>
      <c r="I17" t="s">
        <v>170</v>
      </c>
    </row>
    <row r="18" spans="1:9" x14ac:dyDescent="0.25">
      <c r="A18" s="76" t="str">
        <v>Sotogrande</v>
      </c>
      <c r="B18" s="77">
        <v>50.5</v>
      </c>
      <c r="C18" s="77">
        <v>30</v>
      </c>
      <c r="D18" s="77">
        <v>0.5</v>
      </c>
      <c r="E18" s="77">
        <v>15</v>
      </c>
      <c r="F18" s="77">
        <v>5</v>
      </c>
      <c r="G18" s="85">
        <f t="shared" si="0"/>
        <v>12</v>
      </c>
      <c r="I18" t="s">
        <v>171</v>
      </c>
    </row>
    <row r="23" spans="1:9" x14ac:dyDescent="0.25">
      <c r="A23" s="14" t="s">
        <v>200</v>
      </c>
      <c r="B23" s="14"/>
      <c r="C23" s="14"/>
      <c r="D23" s="14"/>
      <c r="E23" s="14"/>
      <c r="F23" s="14"/>
      <c r="G23" s="14"/>
    </row>
    <row r="24" spans="1:9" x14ac:dyDescent="0.25">
      <c r="A24" s="66" t="s">
        <v>144</v>
      </c>
      <c r="B24" s="67" t="s">
        <v>193</v>
      </c>
      <c r="C24" s="67" t="s">
        <v>194</v>
      </c>
      <c r="D24" s="67" t="s">
        <v>196</v>
      </c>
      <c r="E24" s="67" t="s">
        <v>197</v>
      </c>
      <c r="F24" s="67" t="s">
        <v>201</v>
      </c>
      <c r="G24" s="82" t="s">
        <v>198</v>
      </c>
    </row>
    <row r="25" spans="1:9" x14ac:dyDescent="0.25">
      <c r="A25" s="73" t="str" cm="1">
        <f t="array" ref="A25:E40">_xlfn.LET(_xlpm.depts,$I$25:$I$40,_xlpm.year,$B$2,_xlpm.scores,ROUND(IFERROR(AVERAGEIFS('Weekly Entry'!$P$3:$P$302,'Weekly Entry'!$B$3:$B$302,_xlpm.depts,'Weekly Entry'!$R$3:$R$302,_xlpm.year),0),1),_xlpm.schedule,ROUND(IFERROR(AVERAGEIFS('Weekly Entry'!$F$3:$F$302,'Weekly Entry'!$B$3:$B$302,_xlpm.depts,'Weekly Entry'!$R$3:$R$302,_xlpm.year),0),1),_xlpm.labor,ROUND(IFERROR(AVERAGEIFS('Weekly Entry'!$L$3:$L$302,'Weekly Entry'!$B$3:$B$302,_xlpm.depts,'Weekly Entry'!$R$3:$R$302,_xlpm.year),0),1),_xlpm.punch,ROUND(IFERROR(AVERAGEIFS('Weekly Entry'!$O$3:$O$302,'Weekly Entry'!$B$3:$B$302,_xlpm.depts,'Weekly Entry'!$R$3:$R$302,_xlpm.year),0),1),_xlpm.dataArray,_xlfn.HSTACK(_xlpm.depts,_xlpm.scores,_xlpm.schedule,_xlpm.labor,_xlpm.punch),_xlfn.SORTBY(_xlpm.dataArray,_xlpm.scores,-1))</f>
        <v>Sotogrande BOH</v>
      </c>
      <c r="B25" s="74">
        <v>105</v>
      </c>
      <c r="C25" s="74">
        <v>30</v>
      </c>
      <c r="D25" s="74">
        <v>50</v>
      </c>
      <c r="E25" s="74">
        <v>20</v>
      </c>
      <c r="F25" s="80"/>
      <c r="G25" s="83">
        <f t="shared" ref="G25:G40" si="1">RANK(B25,$B$25:$B$40,0)</f>
        <v>1</v>
      </c>
      <c r="I25" t="s">
        <v>187</v>
      </c>
    </row>
    <row r="26" spans="1:9" x14ac:dyDescent="0.25">
      <c r="A26" s="73" t="str">
        <v>Guest Services</v>
      </c>
      <c r="B26" s="74">
        <v>103</v>
      </c>
      <c r="C26" s="74">
        <v>30</v>
      </c>
      <c r="D26" s="74">
        <v>50</v>
      </c>
      <c r="E26" s="74">
        <v>20</v>
      </c>
      <c r="F26" s="80"/>
      <c r="G26" s="83">
        <f t="shared" si="1"/>
        <v>2</v>
      </c>
      <c r="I26" t="s">
        <v>184</v>
      </c>
    </row>
    <row r="27" spans="1:9" x14ac:dyDescent="0.25">
      <c r="A27" s="73" t="str">
        <v>Pastry</v>
      </c>
      <c r="B27" s="74">
        <v>102.5</v>
      </c>
      <c r="C27" s="74">
        <v>30</v>
      </c>
      <c r="D27" s="74">
        <v>50</v>
      </c>
      <c r="E27" s="74">
        <v>20</v>
      </c>
      <c r="F27" s="80"/>
      <c r="G27" s="83">
        <f t="shared" si="1"/>
        <v>3</v>
      </c>
      <c r="I27" t="s">
        <v>189</v>
      </c>
    </row>
    <row r="28" spans="1:9" x14ac:dyDescent="0.25">
      <c r="A28" s="73" t="str">
        <v>Banquets FOH</v>
      </c>
      <c r="B28" s="74">
        <v>101.5</v>
      </c>
      <c r="C28" s="74">
        <v>30</v>
      </c>
      <c r="D28" s="74">
        <v>50</v>
      </c>
      <c r="E28" s="74">
        <v>20</v>
      </c>
      <c r="F28" s="80"/>
      <c r="G28" s="83">
        <f t="shared" si="1"/>
        <v>4</v>
      </c>
      <c r="I28" t="s">
        <v>175</v>
      </c>
    </row>
    <row r="29" spans="1:9" x14ac:dyDescent="0.25">
      <c r="A29" s="73" t="str">
        <v>Engineering</v>
      </c>
      <c r="B29" s="74">
        <v>100</v>
      </c>
      <c r="C29" s="74">
        <v>30</v>
      </c>
      <c r="D29" s="74">
        <v>50</v>
      </c>
      <c r="E29" s="74">
        <v>20</v>
      </c>
      <c r="F29" s="80"/>
      <c r="G29" s="83">
        <f t="shared" si="1"/>
        <v>5</v>
      </c>
      <c r="I29" t="s">
        <v>176</v>
      </c>
    </row>
    <row r="30" spans="1:9" x14ac:dyDescent="0.25">
      <c r="A30" s="73" t="str">
        <v>Saltbreeze BOH</v>
      </c>
      <c r="B30" s="74">
        <v>93</v>
      </c>
      <c r="C30" s="74">
        <v>30</v>
      </c>
      <c r="D30" s="74">
        <v>50</v>
      </c>
      <c r="E30" s="74">
        <v>10</v>
      </c>
      <c r="F30" s="80"/>
      <c r="G30" s="83">
        <f t="shared" si="1"/>
        <v>6</v>
      </c>
      <c r="I30" t="s">
        <v>186</v>
      </c>
    </row>
    <row r="31" spans="1:9" x14ac:dyDescent="0.25">
      <c r="A31" s="73" t="str">
        <v>Bell Service</v>
      </c>
      <c r="B31" s="74">
        <v>93</v>
      </c>
      <c r="C31" s="74">
        <v>30</v>
      </c>
      <c r="D31" s="74">
        <v>50</v>
      </c>
      <c r="E31" s="74">
        <v>10</v>
      </c>
      <c r="F31" s="80"/>
      <c r="G31" s="83">
        <f t="shared" si="1"/>
        <v>6</v>
      </c>
      <c r="I31" t="s">
        <v>185</v>
      </c>
    </row>
    <row r="32" spans="1:9" x14ac:dyDescent="0.25">
      <c r="A32" s="73" t="str">
        <v>Front Office</v>
      </c>
      <c r="B32" s="74">
        <v>93</v>
      </c>
      <c r="C32" s="74">
        <v>30</v>
      </c>
      <c r="D32" s="74">
        <v>50</v>
      </c>
      <c r="E32" s="74">
        <v>10</v>
      </c>
      <c r="F32" s="80"/>
      <c r="G32" s="83">
        <f t="shared" si="1"/>
        <v>6</v>
      </c>
      <c r="I32" t="s">
        <v>177</v>
      </c>
    </row>
    <row r="33" spans="1:9" x14ac:dyDescent="0.25">
      <c r="A33" s="73" t="str">
        <v>Security</v>
      </c>
      <c r="B33" s="74">
        <v>90</v>
      </c>
      <c r="C33" s="74">
        <v>30</v>
      </c>
      <c r="D33" s="74">
        <v>50</v>
      </c>
      <c r="E33" s="74">
        <v>10</v>
      </c>
      <c r="F33" s="80"/>
      <c r="G33" s="83">
        <f t="shared" si="1"/>
        <v>9</v>
      </c>
      <c r="I33" t="s">
        <v>188</v>
      </c>
    </row>
    <row r="34" spans="1:9" x14ac:dyDescent="0.25">
      <c r="A34" s="73" t="str">
        <v>Windows/IRD BOH</v>
      </c>
      <c r="B34" s="74">
        <v>88</v>
      </c>
      <c r="C34" s="74">
        <v>15</v>
      </c>
      <c r="D34" s="74">
        <v>50</v>
      </c>
      <c r="E34" s="74">
        <v>20</v>
      </c>
      <c r="F34" s="80"/>
      <c r="G34" s="83">
        <f t="shared" si="1"/>
        <v>10</v>
      </c>
      <c r="I34" t="s">
        <v>174</v>
      </c>
    </row>
    <row r="35" spans="1:9" x14ac:dyDescent="0.25">
      <c r="A35" s="73" t="str">
        <v>Stewarding</v>
      </c>
      <c r="B35" s="74">
        <v>77.5</v>
      </c>
      <c r="C35" s="74">
        <v>15</v>
      </c>
      <c r="D35" s="74">
        <v>50</v>
      </c>
      <c r="E35" s="74">
        <v>10</v>
      </c>
      <c r="F35" s="80"/>
      <c r="G35" s="83">
        <f t="shared" si="1"/>
        <v>11</v>
      </c>
      <c r="I35" t="s">
        <v>178</v>
      </c>
    </row>
    <row r="36" spans="1:9" x14ac:dyDescent="0.25">
      <c r="A36" s="73" t="str">
        <v>Garni BOH</v>
      </c>
      <c r="B36" s="74">
        <v>68</v>
      </c>
      <c r="C36" s="74">
        <v>15</v>
      </c>
      <c r="D36" s="74">
        <v>50</v>
      </c>
      <c r="E36" s="74">
        <v>0</v>
      </c>
      <c r="F36" s="80"/>
      <c r="G36" s="83">
        <f t="shared" si="1"/>
        <v>12</v>
      </c>
      <c r="I36" t="s">
        <v>183</v>
      </c>
    </row>
    <row r="37" spans="1:9" x14ac:dyDescent="0.25">
      <c r="A37" s="73" t="str">
        <v>Housekeeping</v>
      </c>
      <c r="B37" s="74">
        <v>50</v>
      </c>
      <c r="C37" s="74">
        <v>30</v>
      </c>
      <c r="D37" s="74">
        <v>0</v>
      </c>
      <c r="E37" s="74">
        <v>20</v>
      </c>
      <c r="F37" s="80"/>
      <c r="G37" s="83">
        <f t="shared" si="1"/>
        <v>13</v>
      </c>
      <c r="I37" t="s">
        <v>179</v>
      </c>
    </row>
    <row r="38" spans="1:9" x14ac:dyDescent="0.25">
      <c r="A38" s="73" t="str">
        <v>Calusso BOH</v>
      </c>
      <c r="B38" s="74">
        <v>37.5</v>
      </c>
      <c r="C38" s="74">
        <v>15</v>
      </c>
      <c r="D38" s="74">
        <v>22.5</v>
      </c>
      <c r="E38" s="74">
        <v>0</v>
      </c>
      <c r="F38" s="80"/>
      <c r="G38" s="83">
        <f t="shared" si="1"/>
        <v>14</v>
      </c>
      <c r="I38" t="s">
        <v>180</v>
      </c>
    </row>
    <row r="39" spans="1:9" x14ac:dyDescent="0.25">
      <c r="A39" s="73" t="str">
        <v>Pier Top BOH</v>
      </c>
      <c r="B39" s="74">
        <v>25</v>
      </c>
      <c r="C39" s="74">
        <v>15</v>
      </c>
      <c r="D39" s="74">
        <v>0</v>
      </c>
      <c r="E39" s="74">
        <v>10</v>
      </c>
      <c r="F39" s="80"/>
      <c r="G39" s="83">
        <f t="shared" si="1"/>
        <v>15</v>
      </c>
      <c r="I39" t="s">
        <v>181</v>
      </c>
    </row>
    <row r="40" spans="1:9" x14ac:dyDescent="0.25">
      <c r="A40" s="76" t="str">
        <v>Banquets BOH</v>
      </c>
      <c r="B40" s="77">
        <v>10</v>
      </c>
      <c r="C40" s="77">
        <v>0</v>
      </c>
      <c r="D40" s="77">
        <v>0</v>
      </c>
      <c r="E40" s="77">
        <v>10</v>
      </c>
      <c r="F40" s="81"/>
      <c r="G40" s="85">
        <f t="shared" si="1"/>
        <v>16</v>
      </c>
      <c r="I40" t="s">
        <v>182</v>
      </c>
    </row>
  </sheetData>
  <sheetProtection algorithmName="SHA-512" hashValue="4lMLEWWs6EwZxoV/ZP7owxcCAbiv1zVNkQ6mJdfGXmiHC+Ih0HzvtrQbXWmjt22vHmu8D+4x2Wru5K6ZgfajNw==" saltValue="Zg9YYOj11crMVIzp896cxg==" spinCount="100000" sheet="1" objects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36"/>
  <sheetViews>
    <sheetView showGridLines="0" topLeftCell="A3" workbookViewId="0">
      <selection activeCell="A43" sqref="A43"/>
    </sheetView>
  </sheetViews>
  <sheetFormatPr defaultRowHeight="15" x14ac:dyDescent="0.25"/>
  <cols>
    <col min="1" max="1" width="130" customWidth="1"/>
  </cols>
  <sheetData>
    <row r="1" spans="1:8" ht="18.75" x14ac:dyDescent="0.3">
      <c r="A1" s="1" t="s">
        <v>206</v>
      </c>
      <c r="B1" s="1"/>
      <c r="C1" s="1"/>
      <c r="D1" s="1"/>
      <c r="E1" s="1"/>
      <c r="F1" s="1"/>
      <c r="G1" s="1"/>
      <c r="H1" s="1"/>
    </row>
    <row r="3" spans="1:8" x14ac:dyDescent="0.25">
      <c r="A3" t="s">
        <v>207</v>
      </c>
    </row>
    <row r="4" spans="1:8" x14ac:dyDescent="0.25">
      <c r="A4" t="s">
        <v>208</v>
      </c>
    </row>
    <row r="5" spans="1:8" x14ac:dyDescent="0.25">
      <c r="A5" t="s">
        <v>209</v>
      </c>
    </row>
    <row r="6" spans="1:8" x14ac:dyDescent="0.25">
      <c r="A6" t="s">
        <v>210</v>
      </c>
    </row>
    <row r="7" spans="1:8" x14ac:dyDescent="0.25">
      <c r="A7" t="s">
        <v>211</v>
      </c>
    </row>
    <row r="8" spans="1:8" x14ac:dyDescent="0.25">
      <c r="A8" t="s">
        <v>212</v>
      </c>
    </row>
    <row r="10" spans="1:8" x14ac:dyDescent="0.25">
      <c r="A10" t="s">
        <v>213</v>
      </c>
    </row>
    <row r="11" spans="1:8" x14ac:dyDescent="0.25">
      <c r="A11" t="str">
        <f>"6. Tier 1 = "&amp;TEXT(Config!C4,"0%")&amp;" tolerance | Tier 2 = "&amp;TEXT(Config!C5,"0%")&amp;" | Tier 3 = "&amp;TEXT(Config!C6,"0%")&amp;" (see Config tab)."</f>
        <v>6. Tier 1 = 3% tolerance | Tier 2 = 5% | Tier 3 = 5% (see Config tab).</v>
      </c>
    </row>
    <row r="12" spans="1:8" x14ac:dyDescent="0.25">
      <c r="A12" t="s">
        <v>214</v>
      </c>
    </row>
    <row r="13" spans="1:8" x14ac:dyDescent="0.25">
      <c r="A13" t="s">
        <v>215</v>
      </c>
    </row>
    <row r="15" spans="1:8" x14ac:dyDescent="0.25">
      <c r="A15" t="s">
        <v>216</v>
      </c>
    </row>
    <row r="16" spans="1:8" x14ac:dyDescent="0.25">
      <c r="A16" t="s">
        <v>217</v>
      </c>
    </row>
    <row r="17" spans="1:1" x14ac:dyDescent="0.25">
      <c r="A17" t="s">
        <v>218</v>
      </c>
    </row>
    <row r="18" spans="1:1" x14ac:dyDescent="0.25">
      <c r="A18" t="s">
        <v>219</v>
      </c>
    </row>
    <row r="20" spans="1:1" x14ac:dyDescent="0.25">
      <c r="A20" t="s">
        <v>220</v>
      </c>
    </row>
    <row r="21" spans="1:1" x14ac:dyDescent="0.25">
      <c r="A21" t="s">
        <v>221</v>
      </c>
    </row>
    <row r="22" spans="1:1" x14ac:dyDescent="0.25">
      <c r="A22" t="s">
        <v>222</v>
      </c>
    </row>
    <row r="23" spans="1:1" x14ac:dyDescent="0.25">
      <c r="A23" t="s">
        <v>223</v>
      </c>
    </row>
    <row r="24" spans="1:1" x14ac:dyDescent="0.25">
      <c r="A24" t="s">
        <v>224</v>
      </c>
    </row>
    <row r="25" spans="1:1" x14ac:dyDescent="0.25">
      <c r="A25" t="s">
        <v>225</v>
      </c>
    </row>
    <row r="26" spans="1:1" x14ac:dyDescent="0.25">
      <c r="A26" t="s">
        <v>226</v>
      </c>
    </row>
    <row r="27" spans="1:1" x14ac:dyDescent="0.25">
      <c r="A27" t="s">
        <v>227</v>
      </c>
    </row>
    <row r="29" spans="1:1" x14ac:dyDescent="0.25">
      <c r="A29" t="s">
        <v>228</v>
      </c>
    </row>
    <row r="30" spans="1:1" x14ac:dyDescent="0.25">
      <c r="A30" t="s">
        <v>229</v>
      </c>
    </row>
    <row r="31" spans="1:1" x14ac:dyDescent="0.25">
      <c r="A31" t="s">
        <v>230</v>
      </c>
    </row>
    <row r="32" spans="1:1" x14ac:dyDescent="0.25">
      <c r="A32" t="s">
        <v>231</v>
      </c>
    </row>
    <row r="34" spans="1:1" x14ac:dyDescent="0.25">
      <c r="A34" t="s">
        <v>232</v>
      </c>
    </row>
    <row r="35" spans="1:1" x14ac:dyDescent="0.25">
      <c r="A35" t="s">
        <v>233</v>
      </c>
    </row>
    <row r="36" spans="1:1" x14ac:dyDescent="0.25">
      <c r="A36" t="s">
        <v>234</v>
      </c>
    </row>
  </sheetData>
  <sheetProtection algorithmName="SHA-512" hashValue="bUVdz7kC/a5BMiOS94zhhGYaS/QludWW7uQSt8lF+e2XFW/vkfKgw14yQx7hn37JDKHvcXJ0njJER0tOEAw9cg==" saltValue="un2OuUCcRI0NzUnMNv6l1g==" spinCount="100000" sheet="1" objects="1" scenarios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AB4E8-8196-4ED3-B463-8B465D787DB0}">
  <sheetPr codeName="Sheet8"/>
  <dimension ref="A1:G66"/>
  <sheetViews>
    <sheetView workbookViewId="0">
      <selection activeCell="B5" sqref="B5"/>
    </sheetView>
  </sheetViews>
  <sheetFormatPr defaultRowHeight="15" x14ac:dyDescent="0.25"/>
  <cols>
    <col min="1" max="1" width="22.85546875" customWidth="1"/>
    <col min="2" max="6" width="13.28515625" customWidth="1"/>
    <col min="7" max="7" width="13.42578125" customWidth="1"/>
  </cols>
  <sheetData>
    <row r="1" spans="1:7" ht="18.75" x14ac:dyDescent="0.3">
      <c r="A1" s="55" t="s">
        <v>235</v>
      </c>
    </row>
    <row r="2" spans="1:7" x14ac:dyDescent="0.25">
      <c r="A2" t="s">
        <v>203</v>
      </c>
      <c r="B2" s="87">
        <v>7</v>
      </c>
      <c r="C2" t="s">
        <v>204</v>
      </c>
      <c r="D2" s="87">
        <v>2026</v>
      </c>
    </row>
    <row r="3" spans="1:7" x14ac:dyDescent="0.25">
      <c r="A3" s="88" t="s">
        <v>236</v>
      </c>
      <c r="B3" s="89" cm="1">
        <f t="array" aca="1" ref="B3" ca="1">IFERROR(SMALL(IF(WEEKDAY(DATE($D$2,$B$2,ROW(INDIRECT("1:"&amp;DAY(EOMONTH(DATE($D$2,$B$2,1),0))))),2)=5,DATE($D$2,$B$2,ROW(INDIRECT("1:"&amp;DAY(EOMONTH(DATE($D$2,$B$2,1),0)))))),1),"")</f>
        <v>46206</v>
      </c>
      <c r="C3" s="89" cm="1">
        <f t="array" aca="1" ref="C3" ca="1">IFERROR(SMALL(IF(WEEKDAY(DATE($D$2,$B$2,ROW(INDIRECT("1:"&amp;DAY(EOMONTH(DATE($D$2,$B$2,1),0))))),2)=5,DATE($D$2,$B$2,ROW(INDIRECT("1:"&amp;DAY(EOMONTH(DATE($D$2,$B$2,1),0)))))),2),"")</f>
        <v>46213</v>
      </c>
      <c r="D3" s="89" cm="1">
        <f t="array" aca="1" ref="D3" ca="1">IFERROR(SMALL(IF(WEEKDAY(DATE($D$2,$B$2,ROW(INDIRECT("1:"&amp;DAY(EOMONTH(DATE($D$2,$B$2,1),0))))),2)=5,DATE($D$2,$B$2,ROW(INDIRECT("1:"&amp;DAY(EOMONTH(DATE($D$2,$B$2,1),0)))))),3),"")</f>
        <v>46220</v>
      </c>
      <c r="E3" s="89" cm="1">
        <f t="array" aca="1" ref="E3" ca="1">IFERROR(SMALL(IF(WEEKDAY(DATE($D$2,$B$2,ROW(INDIRECT("1:"&amp;DAY(EOMONTH(DATE($D$2,$B$2,1),0))))),2)=5,DATE($D$2,$B$2,ROW(INDIRECT("1:"&amp;DAY(EOMONTH(DATE($D$2,$B$2,1),0)))))),4),"")</f>
        <v>46227</v>
      </c>
      <c r="F3" s="89" cm="1">
        <f t="array" aca="1" ref="F3" ca="1">IFERROR(SMALL(IF(WEEKDAY(DATE($D$2,$B$2,ROW(INDIRECT("1:"&amp;DAY(EOMONTH(DATE($D$2,$B$2,1),0))))),2)=5,DATE($D$2,$B$2,ROW(INDIRECT("1:"&amp;DAY(EOMONTH(DATE($D$2,$B$2,1),0)))))),5),"")</f>
        <v>46234</v>
      </c>
      <c r="G3" s="88" t="s">
        <v>237</v>
      </c>
    </row>
    <row r="4" spans="1:7" x14ac:dyDescent="0.25">
      <c r="A4" s="90" t="s">
        <v>238</v>
      </c>
      <c r="B4" s="90" t="s">
        <v>239</v>
      </c>
      <c r="C4" s="90" t="s">
        <v>240</v>
      </c>
      <c r="D4" s="90" t="s">
        <v>241</v>
      </c>
      <c r="E4" s="90" t="s">
        <v>242</v>
      </c>
      <c r="F4" s="90" t="s">
        <v>243</v>
      </c>
      <c r="G4" s="91" t="s">
        <v>244</v>
      </c>
    </row>
    <row r="5" spans="1:7" x14ac:dyDescent="0.25">
      <c r="A5" s="92" t="s">
        <v>245</v>
      </c>
      <c r="B5" s="93">
        <f ca="1">_xlfn.LET(
    _xlpm.deptID, $A5,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95.6</v>
      </c>
      <c r="C5" s="93">
        <f ca="1">_xlfn.LET(
    _xlpm.deptID, $A5,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71</v>
      </c>
      <c r="D5" s="93">
        <f ca="1">_xlfn.LET(
    _xlpm.deptID, $A5,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5" s="93">
        <f ca="1">_xlfn.LET(
    _xlpm.deptID, $A5,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5" s="93">
        <f ca="1">_xlfn.LET(
    _xlpm.deptID, $A5,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5" s="94">
        <f ca="1">_xlfn.LET(
    _xlpm.totalScore, B5+C5+D5+E5+F5,
    _xlpm.weeksInMonth, COUNT($B$3:$F$3),
    IF(_xlpm.weeksInMonth=0, 0, _xlpm.totalScore/_xlpm.weeksInMonth)
)</f>
        <v>33.32</v>
      </c>
    </row>
    <row r="6" spans="1:7" x14ac:dyDescent="0.25">
      <c r="A6" s="23" t="s">
        <v>246</v>
      </c>
      <c r="B6" s="95">
        <f ca="1">_xlfn.LET(
    _xlpm.deptID, $A6,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104</v>
      </c>
      <c r="C6" s="95">
        <f ca="1">_xlfn.LET(
    _xlpm.deptID, $A6,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105</v>
      </c>
      <c r="D6" s="95">
        <f ca="1">_xlfn.LET(
    _xlpm.deptID, $A6,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6" s="95">
        <f ca="1">_xlfn.LET(
    _xlpm.deptID, $A6,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6" s="95">
        <f ca="1">_xlfn.LET(
    _xlpm.deptID, $A6,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6" s="94">
        <f t="shared" ref="G6:G32" ca="1" si="0">_xlfn.LET(
    _xlpm.totalScore, B6+C6+D6+E6+F6,
    _xlpm.weeksInMonth, COUNT($B$3:$F$3),
    IF(_xlpm.weeksInMonth=0, 0, _xlpm.totalScore/_xlpm.weeksInMonth)
)</f>
        <v>41.8</v>
      </c>
    </row>
    <row r="7" spans="1:7" x14ac:dyDescent="0.25">
      <c r="A7" s="92" t="s">
        <v>247</v>
      </c>
      <c r="B7" s="93">
        <f ca="1">_xlfn.LET(
    _xlpm.deptID, $A7,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43</v>
      </c>
      <c r="C7" s="93">
        <f ca="1">_xlfn.LET(
    _xlpm.deptID, $A7,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73</v>
      </c>
      <c r="D7" s="93">
        <f ca="1">_xlfn.LET(
    _xlpm.deptID, $A7,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7" s="93">
        <f ca="1">_xlfn.LET(
    _xlpm.deptID, $A7,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7" s="93">
        <f ca="1">_xlfn.LET(
    _xlpm.deptID, $A7,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7" s="94">
        <f t="shared" ca="1" si="0"/>
        <v>23.2</v>
      </c>
    </row>
    <row r="8" spans="1:7" x14ac:dyDescent="0.25">
      <c r="A8" s="23" t="s">
        <v>248</v>
      </c>
      <c r="B8" s="95">
        <f ca="1">_xlfn.LET(
    _xlpm.deptID, $A8,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95.2</v>
      </c>
      <c r="C8" s="95">
        <f ca="1">_xlfn.LET(
    _xlpm.deptID, $A8,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31</v>
      </c>
      <c r="D8" s="95">
        <f ca="1">_xlfn.LET(
    _xlpm.deptID, $A8,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8" s="95">
        <f ca="1">_xlfn.LET(
    _xlpm.deptID, $A8,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8" s="95">
        <f ca="1">_xlfn.LET(
    _xlpm.deptID, $A8,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8" s="94">
        <f t="shared" ca="1" si="0"/>
        <v>25.240000000000002</v>
      </c>
    </row>
    <row r="9" spans="1:7" x14ac:dyDescent="0.25">
      <c r="A9" s="92" t="s">
        <v>249</v>
      </c>
      <c r="B9" s="93">
        <f ca="1">_xlfn.LET(
    _xlpm.deptID, $A9,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60</v>
      </c>
      <c r="C9" s="93">
        <f ca="1">_xlfn.LET(
    _xlpm.deptID, $A9,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75</v>
      </c>
      <c r="D9" s="93">
        <f ca="1">_xlfn.LET(
    _xlpm.deptID, $A9,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9" s="93">
        <f ca="1">_xlfn.LET(
    _xlpm.deptID, $A9,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9" s="93">
        <f ca="1">_xlfn.LET(
    _xlpm.deptID, $A9,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9" s="94">
        <f t="shared" ca="1" si="0"/>
        <v>27</v>
      </c>
    </row>
    <row r="10" spans="1:7" x14ac:dyDescent="0.25">
      <c r="A10" s="23" t="s">
        <v>250</v>
      </c>
      <c r="B10" s="95">
        <f ca="1">_xlfn.LET(
    _xlpm.deptID, $A10,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108</v>
      </c>
      <c r="C10" s="95">
        <f ca="1">_xlfn.LET(
    _xlpm.deptID, $A10,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104</v>
      </c>
      <c r="D10" s="95">
        <f ca="1">_xlfn.LET(
    _xlpm.deptID, $A10,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0" s="95">
        <f ca="1">_xlfn.LET(
    _xlpm.deptID, $A10,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0" s="95">
        <f ca="1">_xlfn.LET(
    _xlpm.deptID, $A10,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0" s="94">
        <f t="shared" ca="1" si="0"/>
        <v>42.4</v>
      </c>
    </row>
    <row r="11" spans="1:7" x14ac:dyDescent="0.25">
      <c r="A11" s="92" t="s">
        <v>251</v>
      </c>
      <c r="B11" s="93">
        <f ca="1">_xlfn.LET(
    _xlpm.deptID, $A11,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30</v>
      </c>
      <c r="C11" s="93">
        <f ca="1">_xlfn.LET(
    _xlpm.deptID, $A11,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73.000000000000114</v>
      </c>
      <c r="D11" s="93">
        <f ca="1">_xlfn.LET(
    _xlpm.deptID, $A11,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1" s="93">
        <f ca="1">_xlfn.LET(
    _xlpm.deptID, $A11,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1" s="93">
        <f ca="1">_xlfn.LET(
    _xlpm.deptID, $A11,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1" s="94">
        <f t="shared" ca="1" si="0"/>
        <v>20.600000000000023</v>
      </c>
    </row>
    <row r="12" spans="1:7" x14ac:dyDescent="0.25">
      <c r="A12" s="23" t="s">
        <v>252</v>
      </c>
      <c r="B12" s="95">
        <f ca="1">_xlfn.LET(
    _xlpm.deptID, $A12,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104.8</v>
      </c>
      <c r="C12" s="95">
        <f ca="1">_xlfn.LET(
    _xlpm.deptID, $A12,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103.6</v>
      </c>
      <c r="D12" s="95">
        <f ca="1">_xlfn.LET(
    _xlpm.deptID, $A12,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2" s="95">
        <f ca="1">_xlfn.LET(
    _xlpm.deptID, $A12,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2" s="95">
        <f ca="1">_xlfn.LET(
    _xlpm.deptID, $A12,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2" s="94">
        <f t="shared" ca="1" si="0"/>
        <v>41.679999999999993</v>
      </c>
    </row>
    <row r="13" spans="1:7" x14ac:dyDescent="0.25">
      <c r="A13" s="92" t="s">
        <v>253</v>
      </c>
      <c r="B13" s="93">
        <f ca="1">_xlfn.LET(
    _xlpm.deptID, $A13,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94.6</v>
      </c>
      <c r="C13" s="93">
        <f ca="1">_xlfn.LET(
    _xlpm.deptID, $A13,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103.6</v>
      </c>
      <c r="D13" s="93">
        <f ca="1">_xlfn.LET(
    _xlpm.deptID, $A13,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3" s="93">
        <f ca="1">_xlfn.LET(
    _xlpm.deptID, $A13,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3" s="93">
        <f ca="1">_xlfn.LET(
    _xlpm.deptID, $A13,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3" s="94">
        <f t="shared" ca="1" si="0"/>
        <v>39.64</v>
      </c>
    </row>
    <row r="14" spans="1:7" x14ac:dyDescent="0.25">
      <c r="A14" s="23" t="s">
        <v>254</v>
      </c>
      <c r="B14" s="95">
        <f ca="1">_xlfn.LET(
    _xlpm.deptID, $A14,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61</v>
      </c>
      <c r="C14" s="95">
        <f ca="1">_xlfn.LET(
    _xlpm.deptID, $A14,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40</v>
      </c>
      <c r="D14" s="95">
        <f ca="1">_xlfn.LET(
    _xlpm.deptID, $A14,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4" s="95">
        <f ca="1">_xlfn.LET(
    _xlpm.deptID, $A14,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4" s="95">
        <f ca="1">_xlfn.LET(
    _xlpm.deptID, $A14,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4" s="94">
        <f t="shared" ca="1" si="0"/>
        <v>20.2</v>
      </c>
    </row>
    <row r="15" spans="1:7" x14ac:dyDescent="0.25">
      <c r="A15" s="92" t="s">
        <v>255</v>
      </c>
      <c r="B15" s="93">
        <f ca="1">_xlfn.LET(
    _xlpm.deptID, $A15,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103</v>
      </c>
      <c r="C15" s="93">
        <f ca="1">_xlfn.LET(
    _xlpm.deptID, $A15,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63</v>
      </c>
      <c r="D15" s="93">
        <f ca="1">_xlfn.LET(
    _xlpm.deptID, $A15,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5" s="93">
        <f ca="1">_xlfn.LET(
    _xlpm.deptID, $A15,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5" s="93">
        <f ca="1">_xlfn.LET(
    _xlpm.deptID, $A15,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5" s="94">
        <f t="shared" ca="1" si="0"/>
        <v>33.200000000000003</v>
      </c>
    </row>
    <row r="16" spans="1:7" x14ac:dyDescent="0.25">
      <c r="A16" s="23" t="s">
        <v>256</v>
      </c>
      <c r="B16" s="95">
        <f ca="1">_xlfn.LET(
    _xlpm.deptID, $A16,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106.66666666666666</v>
      </c>
      <c r="C16" s="95">
        <f ca="1">_xlfn.LET(
    _xlpm.deptID, $A16,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75</v>
      </c>
      <c r="D16" s="95">
        <f ca="1">_xlfn.LET(
    _xlpm.deptID, $A16,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6" s="95">
        <f ca="1">_xlfn.LET(
    _xlpm.deptID, $A16,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6" s="95">
        <f ca="1">_xlfn.LET(
    _xlpm.deptID, $A16,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6" s="94">
        <f t="shared" ca="1" si="0"/>
        <v>36.333333333333329</v>
      </c>
    </row>
    <row r="17" spans="1:7" x14ac:dyDescent="0.25">
      <c r="A17" s="92" t="s">
        <v>257</v>
      </c>
      <c r="B17" s="93">
        <f ca="1">_xlfn.LET(
    _xlpm.deptID, $A17,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83</v>
      </c>
      <c r="C17" s="93">
        <f ca="1">_xlfn.LET(
    _xlpm.deptID, $A17,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</v>
      </c>
      <c r="D17" s="93">
        <f ca="1">_xlfn.LET(
    _xlpm.deptID, $A17,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7" s="93">
        <f ca="1">_xlfn.LET(
    _xlpm.deptID, $A17,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7" s="93">
        <f ca="1">_xlfn.LET(
    _xlpm.deptID, $A17,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7" s="94">
        <f t="shared" ca="1" si="0"/>
        <v>37.200000000000003</v>
      </c>
    </row>
    <row r="18" spans="1:7" x14ac:dyDescent="0.25">
      <c r="A18" s="23" t="s">
        <v>258</v>
      </c>
      <c r="B18" s="95">
        <f ca="1">_xlfn.LET(
    _xlpm.deptID, $A18,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103</v>
      </c>
      <c r="C18" s="95">
        <f ca="1">_xlfn.LET(
    _xlpm.deptID, $A18,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73</v>
      </c>
      <c r="D18" s="95">
        <f ca="1">_xlfn.LET(
    _xlpm.deptID, $A18,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8" s="95">
        <f ca="1">_xlfn.LET(
    _xlpm.deptID, $A18,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8" s="95">
        <f ca="1">_xlfn.LET(
    _xlpm.deptID, $A18,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8" s="94">
        <f t="shared" ca="1" si="0"/>
        <v>35.200000000000003</v>
      </c>
    </row>
    <row r="19" spans="1:7" x14ac:dyDescent="0.25">
      <c r="A19" s="92" t="s">
        <v>259</v>
      </c>
      <c r="B19" s="93">
        <f ca="1">_xlfn.LET(
    _xlpm.deptID, $A19,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100</v>
      </c>
      <c r="C19" s="93">
        <f ca="1">_xlfn.LET(
    _xlpm.deptID, $A19,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80</v>
      </c>
      <c r="D19" s="93">
        <f ca="1">_xlfn.LET(
    _xlpm.deptID, $A19,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19" s="93">
        <f ca="1">_xlfn.LET(
    _xlpm.deptID, $A19,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19" s="93">
        <f ca="1">_xlfn.LET(
    _xlpm.deptID, $A19,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19" s="94">
        <f t="shared" ca="1" si="0"/>
        <v>36</v>
      </c>
    </row>
    <row r="20" spans="1:7" x14ac:dyDescent="0.25">
      <c r="A20" s="23" t="s">
        <v>260</v>
      </c>
      <c r="B20" s="95">
        <f ca="1">_xlfn.LET(
    _xlpm.deptID, $A20,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103</v>
      </c>
      <c r="C20" s="95">
        <f ca="1">_xlfn.LET(
    _xlpm.deptID, $A20,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</v>
      </c>
      <c r="D20" s="95">
        <f ca="1">_xlfn.LET(
    _xlpm.deptID, $A20,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0" s="95">
        <f ca="1">_xlfn.LET(
    _xlpm.deptID, $A20,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0" s="95">
        <f ca="1">_xlfn.LET(
    _xlpm.deptID, $A20,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0" s="94">
        <f t="shared" ca="1" si="0"/>
        <v>41.2</v>
      </c>
    </row>
    <row r="21" spans="1:7" x14ac:dyDescent="0.25">
      <c r="A21" s="92" t="s">
        <v>261</v>
      </c>
      <c r="B21" s="93">
        <f ca="1">_xlfn.LET(
    _xlpm.deptID, $A21,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83</v>
      </c>
      <c r="C21" s="93">
        <f ca="1">_xlfn.LET(
    _xlpm.deptID, $A21,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</v>
      </c>
      <c r="D21" s="93">
        <f ca="1">_xlfn.LET(
    _xlpm.deptID, $A21,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1" s="93">
        <f ca="1">_xlfn.LET(
    _xlpm.deptID, $A21,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1" s="93">
        <f ca="1">_xlfn.LET(
    _xlpm.deptID, $A21,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1" s="94">
        <f t="shared" ca="1" si="0"/>
        <v>37.200000000000003</v>
      </c>
    </row>
    <row r="22" spans="1:7" x14ac:dyDescent="0.25">
      <c r="A22" s="23" t="s">
        <v>262</v>
      </c>
      <c r="B22" s="95">
        <f ca="1">_xlfn.LET(
    _xlpm.deptID, $A22,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20</v>
      </c>
      <c r="C22" s="95">
        <f ca="1">_xlfn.LET(
    _xlpm.deptID, $A22,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30</v>
      </c>
      <c r="D22" s="95">
        <f ca="1">_xlfn.LET(
    _xlpm.deptID, $A22,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2" s="95">
        <f ca="1">_xlfn.LET(
    _xlpm.deptID, $A22,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2" s="95">
        <f ca="1">_xlfn.LET(
    _xlpm.deptID, $A22,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2" s="94">
        <f t="shared" ca="1" si="0"/>
        <v>10</v>
      </c>
    </row>
    <row r="23" spans="1:7" x14ac:dyDescent="0.25">
      <c r="A23" s="92" t="s">
        <v>263</v>
      </c>
      <c r="B23" s="93">
        <f ca="1">_xlfn.LET(
    _xlpm.deptID, $A23,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83</v>
      </c>
      <c r="C23" s="93">
        <f ca="1">_xlfn.LET(
    _xlpm.deptID, $A23,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53</v>
      </c>
      <c r="D23" s="93">
        <f ca="1">_xlfn.LET(
    _xlpm.deptID, $A23,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3" s="93">
        <f ca="1">_xlfn.LET(
    _xlpm.deptID, $A23,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3" s="93">
        <f ca="1">_xlfn.LET(
    _xlpm.deptID, $A23,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3" s="94">
        <f t="shared" ca="1" si="0"/>
        <v>27.2</v>
      </c>
    </row>
    <row r="24" spans="1:7" x14ac:dyDescent="0.25">
      <c r="A24" s="23" t="s">
        <v>264</v>
      </c>
      <c r="B24" s="95">
        <f ca="1">_xlfn.LET(
    _xlpm.deptID, $A24,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0</v>
      </c>
      <c r="C24" s="95">
        <f ca="1">_xlfn.LET(
    _xlpm.deptID, $A24,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75</v>
      </c>
      <c r="D24" s="95">
        <f ca="1">_xlfn.LET(
    _xlpm.deptID, $A24,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4" s="95">
        <f ca="1">_xlfn.LET(
    _xlpm.deptID, $A24,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4" s="95">
        <f ca="1">_xlfn.LET(
    _xlpm.deptID, $A24,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4" s="94">
        <f t="shared" ca="1" si="0"/>
        <v>15</v>
      </c>
    </row>
    <row r="25" spans="1:7" x14ac:dyDescent="0.25">
      <c r="A25" s="92" t="s">
        <v>265</v>
      </c>
      <c r="B25" s="93">
        <f ca="1">_xlfn.LET(
    _xlpm.deptID, $A25,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105</v>
      </c>
      <c r="C25" s="93">
        <f ca="1">_xlfn.LET(
    _xlpm.deptID, $A25,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105</v>
      </c>
      <c r="D25" s="93">
        <f ca="1">_xlfn.LET(
    _xlpm.deptID, $A25,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5" s="93">
        <f ca="1">_xlfn.LET(
    _xlpm.deptID, $A25,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5" s="93">
        <f ca="1">_xlfn.LET(
    _xlpm.deptID, $A25,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5" s="94">
        <f t="shared" ca="1" si="0"/>
        <v>42</v>
      </c>
    </row>
    <row r="26" spans="1:7" x14ac:dyDescent="0.25">
      <c r="A26" s="23" t="s">
        <v>266</v>
      </c>
      <c r="B26" s="95">
        <f ca="1">_xlfn.LET(
    _xlpm.deptID, $A26,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20</v>
      </c>
      <c r="C26" s="95">
        <f ca="1">_xlfn.LET(
    _xlpm.deptID, $A26,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0</v>
      </c>
      <c r="D26" s="95">
        <f ca="1">_xlfn.LET(
    _xlpm.deptID, $A26,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6" s="95">
        <f ca="1">_xlfn.LET(
    _xlpm.deptID, $A26,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6" s="95">
        <f ca="1">_xlfn.LET(
    _xlpm.deptID, $A26,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6" s="94">
        <f t="shared" ca="1" si="0"/>
        <v>4</v>
      </c>
    </row>
    <row r="27" spans="1:7" x14ac:dyDescent="0.25">
      <c r="A27" s="92" t="s">
        <v>267</v>
      </c>
      <c r="B27" s="93">
        <f ca="1">_xlfn.LET(
    _xlpm.deptID, $A27,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105</v>
      </c>
      <c r="C27" s="93">
        <f ca="1">_xlfn.LET(
    _xlpm.deptID, $A27,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100</v>
      </c>
      <c r="D27" s="93">
        <f ca="1">_xlfn.LET(
    _xlpm.deptID, $A27,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7" s="93">
        <f ca="1">_xlfn.LET(
    _xlpm.deptID, $A27,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7" s="93">
        <f ca="1">_xlfn.LET(
    _xlpm.deptID, $A27,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7" s="94">
        <f t="shared" ca="1" si="0"/>
        <v>41</v>
      </c>
    </row>
    <row r="28" spans="1:7" x14ac:dyDescent="0.25">
      <c r="A28" s="23" t="s">
        <v>268</v>
      </c>
      <c r="B28" s="95">
        <f ca="1">_xlfn.LET(
    _xlpm.deptID, $A28,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105</v>
      </c>
      <c r="C28" s="95">
        <f ca="1">_xlfn.LET(
    _xlpm.deptID, $A28,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50</v>
      </c>
      <c r="D28" s="95">
        <f ca="1">_xlfn.LET(
    _xlpm.deptID, $A28,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8" s="95">
        <f ca="1">_xlfn.LET(
    _xlpm.deptID, $A28,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8" s="95">
        <f ca="1">_xlfn.LET(
    _xlpm.deptID, $A28,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8" s="94">
        <f t="shared" ca="1" si="0"/>
        <v>31</v>
      </c>
    </row>
    <row r="29" spans="1:7" x14ac:dyDescent="0.25">
      <c r="A29" s="92" t="s">
        <v>269</v>
      </c>
      <c r="B29" s="93">
        <f ca="1">_xlfn.LET(
    _xlpm.deptID, $A29,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50</v>
      </c>
      <c r="C29" s="93">
        <f ca="1">_xlfn.LET(
    _xlpm.deptID, $A29,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50</v>
      </c>
      <c r="D29" s="93">
        <f ca="1">_xlfn.LET(
    _xlpm.deptID, $A29,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29" s="93">
        <f ca="1">_xlfn.LET(
    _xlpm.deptID, $A29,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29" s="93">
        <f ca="1">_xlfn.LET(
    _xlpm.deptID, $A29,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29" s="94">
        <f t="shared" ca="1" si="0"/>
        <v>20</v>
      </c>
    </row>
    <row r="30" spans="1:7" x14ac:dyDescent="0.25">
      <c r="A30" s="23" t="s">
        <v>270</v>
      </c>
      <c r="B30" s="95">
        <f ca="1">_xlfn.LET(
    _xlpm.deptID, $A30,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100</v>
      </c>
      <c r="C30" s="95">
        <f ca="1">_xlfn.LET(
    _xlpm.deptID, $A30,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100</v>
      </c>
      <c r="D30" s="95">
        <f ca="1">_xlfn.LET(
    _xlpm.deptID, $A30,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30" s="95">
        <f ca="1">_xlfn.LET(
    _xlpm.deptID, $A30,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30" s="95">
        <f ca="1">_xlfn.LET(
    _xlpm.deptID, $A30,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30" s="94">
        <f t="shared" ca="1" si="0"/>
        <v>40</v>
      </c>
    </row>
    <row r="31" spans="1:7" x14ac:dyDescent="0.25">
      <c r="A31" s="92" t="s">
        <v>271</v>
      </c>
      <c r="B31" s="93">
        <f ca="1">_xlfn.LET(
    _xlpm.deptID, $A31,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83</v>
      </c>
      <c r="C31" s="93">
        <f ca="1">_xlfn.LET(
    _xlpm.deptID, $A31,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103</v>
      </c>
      <c r="D31" s="93">
        <f ca="1">_xlfn.LET(
    _xlpm.deptID, $A31,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31" s="93">
        <f ca="1">_xlfn.LET(
    _xlpm.deptID, $A31,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31" s="93">
        <f ca="1">_xlfn.LET(
    _xlpm.deptID, $A31,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31" s="94">
        <f t="shared" ca="1" si="0"/>
        <v>37.200000000000003</v>
      </c>
    </row>
    <row r="32" spans="1:7" x14ac:dyDescent="0.25">
      <c r="A32" s="23" t="s">
        <v>272</v>
      </c>
      <c r="B32" s="95">
        <f ca="1">_xlfn.LET(
    _xlpm.deptID, $A32,
    _xlpm.step1, PROPER(SUBSTITUTE(_xlpm.deptID, "-", " ")),
    _xlpm.converted, SUBSTITUTE(SUBSTITUTE(_xlpm.step1, "Windows Ird", "Windows/IRD"), "Boh", "BOH"),
    _xlpm.converted2, SUBSTITUTE(_xlpm.converted, "Foh", "FOH"),
    _xlpm.weekDate, B$3,
    _xlpm.score, IFERROR(SUMIFS('Weekly Entry'!$P$3:$P$1000, 'Weekly Entry'!$B$3:$B$1000, _xlpm.converted2, 'Weekly Entry'!$A$3:$A$1000, _xlpm.weekDate), 0),
    IF(_xlpm.weekDate="", 0, _xlpm.score)
)</f>
        <v>103</v>
      </c>
      <c r="C32" s="95">
        <f ca="1">_xlfn.LET(
    _xlpm.deptID, $A32,
    _xlpm.step1, PROPER(SUBSTITUTE(_xlpm.deptID, "-", " ")),
    _xlpm.converted, SUBSTITUTE(SUBSTITUTE(_xlpm.step1, "Windows Ird", "Windows/IRD"), "Boh", "BOH"),
    _xlpm.converted2, SUBSTITUTE(_xlpm.converted, "Foh", "FOH"),
    _xlpm.weekDate, C$3,
    _xlpm.score, IFERROR(SUMIFS('Weekly Entry'!$P$3:$P$1000, 'Weekly Entry'!$B$3:$B$1000, _xlpm.converted2, 'Weekly Entry'!$A$3:$A$1000, _xlpm.weekDate), 0),
    IF(_xlpm.weekDate="", 0, _xlpm.score)
)</f>
        <v>100</v>
      </c>
      <c r="D32" s="95">
        <f ca="1">_xlfn.LET(
    _xlpm.deptID, $A32,
    _xlpm.step1, PROPER(SUBSTITUTE(_xlpm.deptID, "-", " ")),
    _xlpm.converted, SUBSTITUTE(SUBSTITUTE(_xlpm.step1, "Windows Ird", "Windows/IRD"), "Boh", "BOH"),
    _xlpm.converted2, SUBSTITUTE(_xlpm.converted, "Foh", "FOH"),
    _xlpm.weekDate, D$3,
    _xlpm.score, IFERROR(SUMIFS('Weekly Entry'!$P$3:$P$1000, 'Weekly Entry'!$B$3:$B$1000, _xlpm.converted2, 'Weekly Entry'!$A$3:$A$1000, _xlpm.weekDate), 0),
    IF(_xlpm.weekDate="", 0, _xlpm.score)
)</f>
        <v>0</v>
      </c>
      <c r="E32" s="95">
        <f ca="1">_xlfn.LET(
    _xlpm.deptID, $A32,
    _xlpm.step1, PROPER(SUBSTITUTE(_xlpm.deptID, "-", " ")),
    _xlpm.converted, SUBSTITUTE(SUBSTITUTE(_xlpm.step1, "Windows Ird", "Windows/IRD"), "Boh", "BOH"),
    _xlpm.converted2, SUBSTITUTE(_xlpm.converted, "Foh", "FOH"),
    _xlpm.weekDate, E$3,
    _xlpm.score, IFERROR(SUMIFS('Weekly Entry'!$P$3:$P$1000, 'Weekly Entry'!$B$3:$B$1000, _xlpm.converted2, 'Weekly Entry'!$A$3:$A$1000, _xlpm.weekDate), 0),
    IF(_xlpm.weekDate="", 0, _xlpm.score)
)</f>
        <v>0</v>
      </c>
      <c r="F32" s="95">
        <f ca="1">_xlfn.LET(
    _xlpm.deptID, $A32,
    _xlpm.step1, PROPER(SUBSTITUTE(_xlpm.deptID, "-", " ")),
    _xlpm.converted, SUBSTITUTE(SUBSTITUTE(_xlpm.step1, "Windows Ird", "Windows/IRD"), "Boh", "BOH"),
    _xlpm.converted2, SUBSTITUTE(_xlpm.converted, "Foh", "FOH"),
    _xlpm.weekDate, F$3,
    _xlpm.score, IFERROR(SUMIFS('Weekly Entry'!$P$3:$P$1000, 'Weekly Entry'!$B$3:$B$1000, _xlpm.converted2, 'Weekly Entry'!$A$3:$A$1000, _xlpm.weekDate), 0),
    IF(_xlpm.weekDate="", 0, _xlpm.score)
)</f>
        <v>0</v>
      </c>
      <c r="G32" s="94">
        <f t="shared" ca="1" si="0"/>
        <v>40.6</v>
      </c>
    </row>
    <row r="35" spans="1:7" ht="15.75" x14ac:dyDescent="0.25">
      <c r="A35" s="96" t="s">
        <v>273</v>
      </c>
      <c r="B35" s="97"/>
      <c r="C35" s="97"/>
      <c r="D35" s="97"/>
      <c r="E35" s="97"/>
      <c r="F35" s="97"/>
      <c r="G35" s="97"/>
    </row>
    <row r="36" spans="1:7" x14ac:dyDescent="0.25">
      <c r="A36" s="97"/>
      <c r="B36" s="97"/>
      <c r="C36" s="97"/>
      <c r="D36" s="97"/>
      <c r="E36" s="97"/>
      <c r="F36" s="97"/>
      <c r="G36" s="97"/>
    </row>
    <row r="37" spans="1:7" x14ac:dyDescent="0.25">
      <c r="A37" s="98" t="s">
        <v>274</v>
      </c>
      <c r="B37" s="97"/>
      <c r="C37" s="97"/>
      <c r="D37" s="97"/>
      <c r="E37" s="97"/>
      <c r="F37" s="97"/>
      <c r="G37" s="97"/>
    </row>
    <row r="38" spans="1:7" x14ac:dyDescent="0.25">
      <c r="A38" s="97" t="s">
        <v>275</v>
      </c>
      <c r="B38" s="97"/>
      <c r="C38" s="97"/>
      <c r="D38" s="97"/>
      <c r="E38" s="97"/>
      <c r="F38" s="97"/>
      <c r="G38" s="97"/>
    </row>
    <row r="39" spans="1:7" x14ac:dyDescent="0.25">
      <c r="A39" s="97"/>
      <c r="B39" s="97"/>
      <c r="C39" s="97"/>
      <c r="D39" s="97"/>
      <c r="E39" s="97"/>
      <c r="F39" s="97"/>
      <c r="G39" s="97"/>
    </row>
    <row r="40" spans="1:7" x14ac:dyDescent="0.25">
      <c r="A40" s="98" t="s">
        <v>276</v>
      </c>
      <c r="B40" s="97"/>
      <c r="C40" s="97"/>
      <c r="D40" s="97"/>
      <c r="E40" s="97"/>
      <c r="F40" s="97"/>
      <c r="G40" s="97"/>
    </row>
    <row r="41" spans="1:7" x14ac:dyDescent="0.25">
      <c r="A41" s="97" t="s">
        <v>277</v>
      </c>
      <c r="B41" s="97"/>
      <c r="C41" s="97"/>
      <c r="D41" s="97"/>
      <c r="E41" s="97"/>
      <c r="F41" s="97"/>
      <c r="G41" s="97"/>
    </row>
    <row r="42" spans="1:7" x14ac:dyDescent="0.25">
      <c r="A42" s="97"/>
      <c r="B42" s="97"/>
      <c r="C42" s="97"/>
      <c r="D42" s="97"/>
      <c r="E42" s="97"/>
      <c r="F42" s="97"/>
      <c r="G42" s="97"/>
    </row>
    <row r="43" spans="1:7" x14ac:dyDescent="0.25">
      <c r="A43" s="98" t="s">
        <v>278</v>
      </c>
      <c r="B43" s="97"/>
      <c r="C43" s="97"/>
      <c r="D43" s="97"/>
      <c r="E43" s="97"/>
      <c r="F43" s="97"/>
      <c r="G43" s="97"/>
    </row>
    <row r="44" spans="1:7" x14ac:dyDescent="0.25">
      <c r="A44" s="97" t="s">
        <v>279</v>
      </c>
      <c r="B44" s="97"/>
      <c r="C44" s="97"/>
      <c r="D44" s="97"/>
      <c r="E44" s="97"/>
      <c r="F44" s="97"/>
      <c r="G44" s="97"/>
    </row>
    <row r="45" spans="1:7" x14ac:dyDescent="0.25">
      <c r="A45" s="97" t="s">
        <v>280</v>
      </c>
      <c r="B45" s="97"/>
      <c r="C45" s="97"/>
      <c r="D45" s="97"/>
      <c r="E45" s="97"/>
      <c r="F45" s="97"/>
      <c r="G45" s="97"/>
    </row>
    <row r="46" spans="1:7" x14ac:dyDescent="0.25">
      <c r="A46" s="97"/>
      <c r="B46" s="97"/>
      <c r="C46" s="97"/>
      <c r="D46" s="97"/>
      <c r="E46" s="97"/>
      <c r="F46" s="97"/>
      <c r="G46" s="97"/>
    </row>
    <row r="47" spans="1:7" x14ac:dyDescent="0.25">
      <c r="A47" s="98" t="s">
        <v>281</v>
      </c>
      <c r="B47" s="97"/>
      <c r="C47" s="97"/>
      <c r="D47" s="97"/>
      <c r="E47" s="97"/>
      <c r="F47" s="97"/>
      <c r="G47" s="97"/>
    </row>
    <row r="48" spans="1:7" x14ac:dyDescent="0.25">
      <c r="A48" s="97" t="s">
        <v>282</v>
      </c>
      <c r="B48" s="97"/>
      <c r="C48" s="97"/>
      <c r="D48" s="97"/>
      <c r="E48" s="97"/>
      <c r="F48" s="97"/>
      <c r="G48" s="97"/>
    </row>
    <row r="49" spans="1:7" x14ac:dyDescent="0.25">
      <c r="A49" s="97" t="s">
        <v>283</v>
      </c>
      <c r="B49" s="97"/>
      <c r="C49" s="97"/>
      <c r="D49" s="97"/>
      <c r="E49" s="97"/>
      <c r="F49" s="97"/>
      <c r="G49" s="97"/>
    </row>
    <row r="50" spans="1:7" x14ac:dyDescent="0.25">
      <c r="A50" s="97"/>
      <c r="B50" s="97"/>
      <c r="C50" s="97"/>
      <c r="D50" s="97"/>
      <c r="E50" s="97"/>
      <c r="F50" s="97"/>
      <c r="G50" s="97"/>
    </row>
    <row r="51" spans="1:7" x14ac:dyDescent="0.25">
      <c r="A51" s="98" t="s">
        <v>284</v>
      </c>
      <c r="B51" s="97"/>
      <c r="C51" s="97"/>
      <c r="D51" s="97"/>
      <c r="E51" s="97"/>
      <c r="F51" s="97"/>
      <c r="G51" s="97"/>
    </row>
    <row r="52" spans="1:7" x14ac:dyDescent="0.25">
      <c r="A52" s="97" t="s">
        <v>285</v>
      </c>
      <c r="B52" s="97"/>
      <c r="C52" s="97"/>
      <c r="D52" s="97"/>
      <c r="E52" s="97"/>
      <c r="F52" s="97"/>
      <c r="G52" s="97"/>
    </row>
    <row r="53" spans="1:7" x14ac:dyDescent="0.25">
      <c r="A53" s="97" t="s">
        <v>286</v>
      </c>
      <c r="B53" s="97"/>
      <c r="C53" s="97"/>
      <c r="D53" s="97"/>
      <c r="E53" s="97"/>
      <c r="F53" s="97"/>
      <c r="G53" s="97"/>
    </row>
    <row r="54" spans="1:7" x14ac:dyDescent="0.25">
      <c r="A54" s="97"/>
      <c r="B54" s="97"/>
      <c r="C54" s="97"/>
      <c r="D54" s="97"/>
      <c r="E54" s="97"/>
      <c r="F54" s="97"/>
      <c r="G54" s="97"/>
    </row>
    <row r="55" spans="1:7" x14ac:dyDescent="0.25">
      <c r="A55" s="98" t="s">
        <v>287</v>
      </c>
      <c r="B55" s="97"/>
      <c r="C55" s="97"/>
      <c r="D55" s="97"/>
      <c r="E55" s="97"/>
      <c r="F55" s="97"/>
      <c r="G55" s="97"/>
    </row>
    <row r="66" spans="1:6" x14ac:dyDescent="0.25">
      <c r="A66" s="97"/>
      <c r="B66" s="97"/>
      <c r="C66" s="97"/>
      <c r="D66" s="97"/>
      <c r="E66" s="97"/>
      <c r="F66" s="9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EC04-7341-4CAA-8196-89430C0C8C37}">
  <sheetPr codeName="Sheet9"/>
  <dimension ref="A1:M29"/>
  <sheetViews>
    <sheetView tabSelected="1" workbookViewId="0">
      <selection activeCell="O9" sqref="O9"/>
    </sheetView>
  </sheetViews>
  <sheetFormatPr defaultRowHeight="15" x14ac:dyDescent="0.25"/>
  <cols>
    <col min="1" max="1" width="16.42578125" bestFit="1" customWidth="1"/>
    <col min="2" max="2" width="13.85546875" bestFit="1" customWidth="1"/>
    <col min="3" max="3" width="13" bestFit="1" customWidth="1"/>
    <col min="4" max="4" width="9.28515625" bestFit="1" customWidth="1"/>
    <col min="5" max="5" width="7.28515625" bestFit="1" customWidth="1"/>
    <col min="6" max="6" width="20" bestFit="1" customWidth="1"/>
    <col min="7" max="7" width="13.7109375" bestFit="1" customWidth="1"/>
    <col min="8" max="8" width="14.140625" bestFit="1" customWidth="1"/>
    <col min="9" max="13" width="10" bestFit="1" customWidth="1"/>
  </cols>
  <sheetData>
    <row r="1" spans="1:13" x14ac:dyDescent="0.25">
      <c r="A1" t="s">
        <v>238</v>
      </c>
      <c r="B1" t="s">
        <v>244</v>
      </c>
      <c r="C1" t="s">
        <v>193</v>
      </c>
      <c r="D1" t="s">
        <v>158</v>
      </c>
      <c r="E1" t="s">
        <v>159</v>
      </c>
      <c r="F1" t="s">
        <v>288</v>
      </c>
      <c r="G1" t="s">
        <v>289</v>
      </c>
      <c r="H1" t="s">
        <v>290</v>
      </c>
      <c r="I1" t="s">
        <v>239</v>
      </c>
      <c r="J1" t="s">
        <v>240</v>
      </c>
      <c r="K1" t="s">
        <v>241</v>
      </c>
      <c r="L1" t="s">
        <v>242</v>
      </c>
      <c r="M1" t="s">
        <v>243</v>
      </c>
    </row>
    <row r="2" spans="1:13" x14ac:dyDescent="0.25">
      <c r="A2" t="s">
        <v>245</v>
      </c>
      <c r="B2" s="99">
        <f ca="1">IFERROR(VLOOKUP(tblBoardExport[[#This Row],[DepartmentID]], WeeklyCumulative!$A$5:$G$32, 7, FALSE), "")</f>
        <v>33.32</v>
      </c>
      <c r="C2" cm="1">
        <f t="array" aca="1" ref="C2" ca="1">IFERROR(SUMPRODUCT((WeeklyCumulative!$A$5:$A$32=tblBoardExport[[#This Row],[DepartmentID]])*(WeeklyCumulative!$B$5:$F$32)),0)</f>
        <v>166.6</v>
      </c>
      <c r="D2">
        <f>WeeklyCumulative!$B$2</f>
        <v>7</v>
      </c>
      <c r="E2">
        <f>WeeklyCumulative!$D$2</f>
        <v>2026</v>
      </c>
      <c r="F2" cm="1">
        <f t="array" aca="1" ref="F2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" cm="1">
        <f t="array" aca="1" ref="G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" s="13" cm="1">
        <f t="array" ref="H2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83.3</v>
      </c>
      <c r="I2" s="13" cm="1">
        <f t="array" aca="1" ref="I2" ca="1">IFERROR(SUMPRODUCT((WeeklyCumulative!$A$5:$A$32=tblBoardExport[[#This Row],[DepartmentID]])*(WeeklyCumulative!$B$5:$B$32)),0)</f>
        <v>95.6</v>
      </c>
      <c r="J2" s="13" cm="1">
        <f t="array" aca="1" ref="J2" ca="1">IFERROR(SUMPRODUCT((WeeklyCumulative!$A$5:$A$32=tblBoardExport[[#This Row],[DepartmentID]])*(WeeklyCumulative!$C$5:$C$32)),0)</f>
        <v>71</v>
      </c>
      <c r="K2" s="13" cm="1">
        <f t="array" aca="1" ref="K2" ca="1">IFERROR(SUMPRODUCT((WeeklyCumulative!$A$5:$A$32=tblBoardExport[[#This Row],[DepartmentID]])*(WeeklyCumulative!$D$5:$D$32)),0)</f>
        <v>0</v>
      </c>
      <c r="L2" s="13" cm="1">
        <f t="array" aca="1" ref="L2" ca="1">IFERROR(SUMPRODUCT((WeeklyCumulative!$A$5:$A$32=tblBoardExport[[#This Row],[DepartmentID]])*(WeeklyCumulative!$E$5:$E$32)),0)</f>
        <v>0</v>
      </c>
      <c r="M2" s="13" cm="1">
        <f t="array" aca="1" ref="M2" ca="1">IFERROR(SUMPRODUCT((WeeklyCumulative!$A$5:$A$32=tblBoardExport[[#This Row],[DepartmentID]])*(WeeklyCumulative!$F$5:$F$32)),0)</f>
        <v>0</v>
      </c>
    </row>
    <row r="3" spans="1:13" x14ac:dyDescent="0.25">
      <c r="A3" t="s">
        <v>246</v>
      </c>
      <c r="B3" s="99">
        <f ca="1">IFERROR(VLOOKUP(tblBoardExport[[#This Row],[DepartmentID]], WeeklyCumulative!$A$5:$G$32, 7, FALSE), "")</f>
        <v>41.8</v>
      </c>
      <c r="C3" cm="1">
        <f t="array" aca="1" ref="C3" ca="1">IFERROR(SUMPRODUCT((WeeklyCumulative!$A$5:$A$32=tblBoardExport[[#This Row],[DepartmentID]])*(WeeklyCumulative!$B$5:$F$32)),0)</f>
        <v>209</v>
      </c>
      <c r="D3">
        <f>WeeklyCumulative!$B$2</f>
        <v>7</v>
      </c>
      <c r="E3">
        <f>WeeklyCumulative!$D$2</f>
        <v>2026</v>
      </c>
      <c r="F3" cm="1">
        <f t="array" aca="1" ref="F3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3" cm="1">
        <f t="array" aca="1" ref="G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3" s="13" cm="1">
        <f t="array" ref="H3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104.5</v>
      </c>
      <c r="I3" s="13" cm="1">
        <f t="array" aca="1" ref="I3" ca="1">IFERROR(SUMPRODUCT((WeeklyCumulative!$A$5:$A$32=tblBoardExport[[#This Row],[DepartmentID]])*(WeeklyCumulative!$B$5:$B$32)),0)</f>
        <v>104</v>
      </c>
      <c r="J3" s="13" cm="1">
        <f t="array" aca="1" ref="J3" ca="1">IFERROR(SUMPRODUCT((WeeklyCumulative!$A$5:$A$32=tblBoardExport[[#This Row],[DepartmentID]])*(WeeklyCumulative!$C$5:$C$32)),0)</f>
        <v>105</v>
      </c>
      <c r="K3" s="13" cm="1">
        <f t="array" aca="1" ref="K3" ca="1">IFERROR(SUMPRODUCT((WeeklyCumulative!$A$5:$A$32=tblBoardExport[[#This Row],[DepartmentID]])*(WeeklyCumulative!$D$5:$D$32)),0)</f>
        <v>0</v>
      </c>
      <c r="L3" s="13" cm="1">
        <f t="array" aca="1" ref="L3" ca="1">IFERROR(SUMPRODUCT((WeeklyCumulative!$A$5:$A$32=tblBoardExport[[#This Row],[DepartmentID]])*(WeeklyCumulative!$E$5:$E$32)),0)</f>
        <v>0</v>
      </c>
      <c r="M3" s="13" cm="1">
        <f t="array" aca="1" ref="M3" ca="1">IFERROR(SUMPRODUCT((WeeklyCumulative!$A$5:$A$32=tblBoardExport[[#This Row],[DepartmentID]])*(WeeklyCumulative!$F$5:$F$32)),0)</f>
        <v>0</v>
      </c>
    </row>
    <row r="4" spans="1:13" x14ac:dyDescent="0.25">
      <c r="A4" t="s">
        <v>247</v>
      </c>
      <c r="B4" s="99">
        <f ca="1">IFERROR(VLOOKUP(tblBoardExport[[#This Row],[DepartmentID]], WeeklyCumulative!$A$5:$G$32, 7, FALSE), "")</f>
        <v>23.2</v>
      </c>
      <c r="C4" cm="1">
        <f t="array" aca="1" ref="C4" ca="1">IFERROR(SUMPRODUCT((WeeklyCumulative!$A$5:$A$32=tblBoardExport[[#This Row],[DepartmentID]])*(WeeklyCumulative!$B$5:$F$32)),0)</f>
        <v>116</v>
      </c>
      <c r="D4">
        <f>WeeklyCumulative!$B$2</f>
        <v>7</v>
      </c>
      <c r="E4">
        <f>WeeklyCumulative!$D$2</f>
        <v>2026</v>
      </c>
      <c r="F4" cm="1">
        <f t="array" aca="1" ref="F4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4" cm="1">
        <f t="array" aca="1" ref="G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4" s="13" cm="1">
        <f t="array" ref="H4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58</v>
      </c>
      <c r="I4" s="13" cm="1">
        <f t="array" aca="1" ref="I4" ca="1">IFERROR(SUMPRODUCT((WeeklyCumulative!$A$5:$A$32=tblBoardExport[[#This Row],[DepartmentID]])*(WeeklyCumulative!$B$5:$B$32)),0)</f>
        <v>43</v>
      </c>
      <c r="J4" s="13" cm="1">
        <f t="array" aca="1" ref="J4" ca="1">IFERROR(SUMPRODUCT((WeeklyCumulative!$A$5:$A$32=tblBoardExport[[#This Row],[DepartmentID]])*(WeeklyCumulative!$C$5:$C$32)),0)</f>
        <v>73</v>
      </c>
      <c r="K4" s="13" cm="1">
        <f t="array" aca="1" ref="K4" ca="1">IFERROR(SUMPRODUCT((WeeklyCumulative!$A$5:$A$32=tblBoardExport[[#This Row],[DepartmentID]])*(WeeklyCumulative!$D$5:$D$32)),0)</f>
        <v>0</v>
      </c>
      <c r="L4" s="13" cm="1">
        <f t="array" aca="1" ref="L4" ca="1">IFERROR(SUMPRODUCT((WeeklyCumulative!$A$5:$A$32=tblBoardExport[[#This Row],[DepartmentID]])*(WeeklyCumulative!$E$5:$E$32)),0)</f>
        <v>0</v>
      </c>
      <c r="M4" s="13" cm="1">
        <f t="array" aca="1" ref="M4" ca="1">IFERROR(SUMPRODUCT((WeeklyCumulative!$A$5:$A$32=tblBoardExport[[#This Row],[DepartmentID]])*(WeeklyCumulative!$F$5:$F$32)),0)</f>
        <v>0</v>
      </c>
    </row>
    <row r="5" spans="1:13" x14ac:dyDescent="0.25">
      <c r="A5" t="s">
        <v>248</v>
      </c>
      <c r="B5" s="99">
        <f ca="1">IFERROR(VLOOKUP(tblBoardExport[[#This Row],[DepartmentID]], WeeklyCumulative!$A$5:$G$32, 7, FALSE), "")</f>
        <v>25.240000000000002</v>
      </c>
      <c r="C5" cm="1">
        <f t="array" aca="1" ref="C5" ca="1">IFERROR(SUMPRODUCT((WeeklyCumulative!$A$5:$A$32=tblBoardExport[[#This Row],[DepartmentID]])*(WeeklyCumulative!$B$5:$F$32)),0)</f>
        <v>126.2</v>
      </c>
      <c r="D5">
        <f>WeeklyCumulative!$B$2</f>
        <v>7</v>
      </c>
      <c r="E5">
        <f>WeeklyCumulative!$D$2</f>
        <v>2026</v>
      </c>
      <c r="F5" cm="1">
        <f t="array" aca="1" ref="F5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5" cm="1">
        <f t="array" aca="1" ref="G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5" s="13" cm="1">
        <f t="array" ref="H5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63.1</v>
      </c>
      <c r="I5" s="13" cm="1">
        <f t="array" aca="1" ref="I5" ca="1">IFERROR(SUMPRODUCT((WeeklyCumulative!$A$5:$A$32=tblBoardExport[[#This Row],[DepartmentID]])*(WeeklyCumulative!$B$5:$B$32)),0)</f>
        <v>95.2</v>
      </c>
      <c r="J5" s="13" cm="1">
        <f t="array" aca="1" ref="J5" ca="1">IFERROR(SUMPRODUCT((WeeklyCumulative!$A$5:$A$32=tblBoardExport[[#This Row],[DepartmentID]])*(WeeklyCumulative!$C$5:$C$32)),0)</f>
        <v>31</v>
      </c>
      <c r="K5" s="13" cm="1">
        <f t="array" aca="1" ref="K5" ca="1">IFERROR(SUMPRODUCT((WeeklyCumulative!$A$5:$A$32=tblBoardExport[[#This Row],[DepartmentID]])*(WeeklyCumulative!$D$5:$D$32)),0)</f>
        <v>0</v>
      </c>
      <c r="L5" s="13" cm="1">
        <f t="array" aca="1" ref="L5" ca="1">IFERROR(SUMPRODUCT((WeeklyCumulative!$A$5:$A$32=tblBoardExport[[#This Row],[DepartmentID]])*(WeeklyCumulative!$E$5:$E$32)),0)</f>
        <v>0</v>
      </c>
      <c r="M5" s="13" cm="1">
        <f t="array" aca="1" ref="M5" ca="1">IFERROR(SUMPRODUCT((WeeklyCumulative!$A$5:$A$32=tblBoardExport[[#This Row],[DepartmentID]])*(WeeklyCumulative!$F$5:$F$32)),0)</f>
        <v>0</v>
      </c>
    </row>
    <row r="6" spans="1:13" x14ac:dyDescent="0.25">
      <c r="A6" t="s">
        <v>249</v>
      </c>
      <c r="B6" s="99">
        <f ca="1">IFERROR(VLOOKUP(tblBoardExport[[#This Row],[DepartmentID]], WeeklyCumulative!$A$5:$G$32, 7, FALSE), "")</f>
        <v>27</v>
      </c>
      <c r="C6" cm="1">
        <f t="array" aca="1" ref="C6" ca="1">IFERROR(SUMPRODUCT((WeeklyCumulative!$A$5:$A$32=tblBoardExport[[#This Row],[DepartmentID]])*(WeeklyCumulative!$B$5:$F$32)),0)</f>
        <v>135</v>
      </c>
      <c r="D6">
        <f>WeeklyCumulative!$B$2</f>
        <v>7</v>
      </c>
      <c r="E6">
        <f>WeeklyCumulative!$D$2</f>
        <v>2026</v>
      </c>
      <c r="F6" cm="1">
        <f t="array" aca="1" ref="F6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6" cm="1">
        <f t="array" aca="1" ref="G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6" s="13" cm="1">
        <f t="array" ref="H6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67.5</v>
      </c>
      <c r="I6" s="13" cm="1">
        <f t="array" aca="1" ref="I6" ca="1">IFERROR(SUMPRODUCT((WeeklyCumulative!$A$5:$A$32=tblBoardExport[[#This Row],[DepartmentID]])*(WeeklyCumulative!$B$5:$B$32)),0)</f>
        <v>60</v>
      </c>
      <c r="J6" s="13" cm="1">
        <f t="array" aca="1" ref="J6" ca="1">IFERROR(SUMPRODUCT((WeeklyCumulative!$A$5:$A$32=tblBoardExport[[#This Row],[DepartmentID]])*(WeeklyCumulative!$C$5:$C$32)),0)</f>
        <v>75</v>
      </c>
      <c r="K6" s="13" cm="1">
        <f t="array" aca="1" ref="K6" ca="1">IFERROR(SUMPRODUCT((WeeklyCumulative!$A$5:$A$32=tblBoardExport[[#This Row],[DepartmentID]])*(WeeklyCumulative!$D$5:$D$32)),0)</f>
        <v>0</v>
      </c>
      <c r="L6" s="13" cm="1">
        <f t="array" aca="1" ref="L6" ca="1">IFERROR(SUMPRODUCT((WeeklyCumulative!$A$5:$A$32=tblBoardExport[[#This Row],[DepartmentID]])*(WeeklyCumulative!$E$5:$E$32)),0)</f>
        <v>0</v>
      </c>
      <c r="M6" s="13" cm="1">
        <f t="array" aca="1" ref="M6" ca="1">IFERROR(SUMPRODUCT((WeeklyCumulative!$A$5:$A$32=tblBoardExport[[#This Row],[DepartmentID]])*(WeeklyCumulative!$F$5:$F$32)),0)</f>
        <v>0</v>
      </c>
    </row>
    <row r="7" spans="1:13" x14ac:dyDescent="0.25">
      <c r="A7" t="s">
        <v>250</v>
      </c>
      <c r="B7" s="99">
        <f ca="1">IFERROR(VLOOKUP(tblBoardExport[[#This Row],[DepartmentID]], WeeklyCumulative!$A$5:$G$32, 7, FALSE), "")</f>
        <v>42.4</v>
      </c>
      <c r="C7" cm="1">
        <f t="array" aca="1" ref="C7" ca="1">IFERROR(SUMPRODUCT((WeeklyCumulative!$A$5:$A$32=tblBoardExport[[#This Row],[DepartmentID]])*(WeeklyCumulative!$B$5:$F$32)),0)</f>
        <v>212</v>
      </c>
      <c r="D7">
        <f>WeeklyCumulative!$B$2</f>
        <v>7</v>
      </c>
      <c r="E7">
        <f>WeeklyCumulative!$D$2</f>
        <v>2026</v>
      </c>
      <c r="F7" cm="1">
        <f t="array" aca="1" ref="F7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7" cm="1">
        <f t="array" aca="1" ref="G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7" s="13" cm="1">
        <f t="array" ref="H7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106</v>
      </c>
      <c r="I7" s="13" cm="1">
        <f t="array" aca="1" ref="I7" ca="1">IFERROR(SUMPRODUCT((WeeklyCumulative!$A$5:$A$32=tblBoardExport[[#This Row],[DepartmentID]])*(WeeklyCumulative!$B$5:$B$32)),0)</f>
        <v>108</v>
      </c>
      <c r="J7" s="13" cm="1">
        <f t="array" aca="1" ref="J7" ca="1">IFERROR(SUMPRODUCT((WeeklyCumulative!$A$5:$A$32=tblBoardExport[[#This Row],[DepartmentID]])*(WeeklyCumulative!$C$5:$C$32)),0)</f>
        <v>104</v>
      </c>
      <c r="K7" s="13" cm="1">
        <f t="array" aca="1" ref="K7" ca="1">IFERROR(SUMPRODUCT((WeeklyCumulative!$A$5:$A$32=tblBoardExport[[#This Row],[DepartmentID]])*(WeeklyCumulative!$D$5:$D$32)),0)</f>
        <v>0</v>
      </c>
      <c r="L7" s="13" cm="1">
        <f t="array" aca="1" ref="L7" ca="1">IFERROR(SUMPRODUCT((WeeklyCumulative!$A$5:$A$32=tblBoardExport[[#This Row],[DepartmentID]])*(WeeklyCumulative!$E$5:$E$32)),0)</f>
        <v>0</v>
      </c>
      <c r="M7" s="13" cm="1">
        <f t="array" aca="1" ref="M7" ca="1">IFERROR(SUMPRODUCT((WeeklyCumulative!$A$5:$A$32=tblBoardExport[[#This Row],[DepartmentID]])*(WeeklyCumulative!$F$5:$F$32)),0)</f>
        <v>0</v>
      </c>
    </row>
    <row r="8" spans="1:13" x14ac:dyDescent="0.25">
      <c r="A8" t="s">
        <v>256</v>
      </c>
      <c r="B8" s="99">
        <f ca="1">IFERROR(VLOOKUP(tblBoardExport[[#This Row],[DepartmentID]], WeeklyCumulative!$A$5:$G$32, 7, FALSE), "")</f>
        <v>36.333333333333329</v>
      </c>
      <c r="C8" cm="1">
        <f t="array" aca="1" ref="C8" ca="1">IFERROR(SUMPRODUCT((WeeklyCumulative!$A$5:$A$32=tblBoardExport[[#This Row],[DepartmentID]])*(WeeklyCumulative!$B$5:$F$32)),0)</f>
        <v>181.66666666666666</v>
      </c>
      <c r="D8">
        <f>WeeklyCumulative!$B$2</f>
        <v>7</v>
      </c>
      <c r="E8">
        <f>WeeklyCumulative!$D$2</f>
        <v>2026</v>
      </c>
      <c r="F8" cm="1">
        <f t="array" aca="1" ref="F8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8" cm="1">
        <f t="array" aca="1" ref="G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8" s="13" cm="1">
        <f t="array" ref="H8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90.8</v>
      </c>
      <c r="I8" s="13" cm="1">
        <f t="array" aca="1" ref="I8" ca="1">IFERROR(SUMPRODUCT((WeeklyCumulative!$A$5:$A$32=tblBoardExport[[#This Row],[DepartmentID]])*(WeeklyCumulative!$B$5:$B$32)),0)</f>
        <v>106.66666666666666</v>
      </c>
      <c r="J8" s="13" cm="1">
        <f t="array" aca="1" ref="J8" ca="1">IFERROR(SUMPRODUCT((WeeklyCumulative!$A$5:$A$32=tblBoardExport[[#This Row],[DepartmentID]])*(WeeklyCumulative!$C$5:$C$32)),0)</f>
        <v>75</v>
      </c>
      <c r="K8" s="13" cm="1">
        <f t="array" aca="1" ref="K8" ca="1">IFERROR(SUMPRODUCT((WeeklyCumulative!$A$5:$A$32=tblBoardExport[[#This Row],[DepartmentID]])*(WeeklyCumulative!$D$5:$D$32)),0)</f>
        <v>0</v>
      </c>
      <c r="L8" s="13" cm="1">
        <f t="array" aca="1" ref="L8" ca="1">IFERROR(SUMPRODUCT((WeeklyCumulative!$A$5:$A$32=tblBoardExport[[#This Row],[DepartmentID]])*(WeeklyCumulative!$E$5:$E$32)),0)</f>
        <v>0</v>
      </c>
      <c r="M8" s="13" cm="1">
        <f t="array" aca="1" ref="M8" ca="1">IFERROR(SUMPRODUCT((WeeklyCumulative!$A$5:$A$32=tblBoardExport[[#This Row],[DepartmentID]])*(WeeklyCumulative!$F$5:$F$32)),0)</f>
        <v>0</v>
      </c>
    </row>
    <row r="9" spans="1:13" x14ac:dyDescent="0.25">
      <c r="A9" t="s">
        <v>251</v>
      </c>
      <c r="B9" s="99">
        <f ca="1">IFERROR(VLOOKUP(tblBoardExport[[#This Row],[DepartmentID]], WeeklyCumulative!$A$5:$G$32, 7, FALSE), "")</f>
        <v>20.600000000000023</v>
      </c>
      <c r="C9" cm="1">
        <f t="array" aca="1" ref="C9" ca="1">IFERROR(SUMPRODUCT((WeeklyCumulative!$A$5:$A$32=tblBoardExport[[#This Row],[DepartmentID]])*(WeeklyCumulative!$B$5:$F$32)),0)</f>
        <v>103.00000000000011</v>
      </c>
      <c r="D9">
        <f>WeeklyCumulative!$B$2</f>
        <v>7</v>
      </c>
      <c r="E9">
        <f>WeeklyCumulative!$D$2</f>
        <v>2026</v>
      </c>
      <c r="F9" cm="1">
        <f t="array" aca="1" ref="F9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9" cm="1">
        <f t="array" aca="1" ref="G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9" s="13" cm="1">
        <f t="array" ref="H9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51.5</v>
      </c>
      <c r="I9" s="13" cm="1">
        <f t="array" aca="1" ref="I9" ca="1">IFERROR(SUMPRODUCT((WeeklyCumulative!$A$5:$A$32=tblBoardExport[[#This Row],[DepartmentID]])*(WeeklyCumulative!$B$5:$B$32)),0)</f>
        <v>30</v>
      </c>
      <c r="J9" s="13" cm="1">
        <f t="array" aca="1" ref="J9" ca="1">IFERROR(SUMPRODUCT((WeeklyCumulative!$A$5:$A$32=tblBoardExport[[#This Row],[DepartmentID]])*(WeeklyCumulative!$C$5:$C$32)),0)</f>
        <v>73.000000000000114</v>
      </c>
      <c r="K9" s="13" cm="1">
        <f t="array" aca="1" ref="K9" ca="1">IFERROR(SUMPRODUCT((WeeklyCumulative!$A$5:$A$32=tblBoardExport[[#This Row],[DepartmentID]])*(WeeklyCumulative!$D$5:$D$32)),0)</f>
        <v>0</v>
      </c>
      <c r="L9" s="13" cm="1">
        <f t="array" aca="1" ref="L9" ca="1">IFERROR(SUMPRODUCT((WeeklyCumulative!$A$5:$A$32=tblBoardExport[[#This Row],[DepartmentID]])*(WeeklyCumulative!$E$5:$E$32)),0)</f>
        <v>0</v>
      </c>
      <c r="M9" s="13" cm="1">
        <f t="array" aca="1" ref="M9" ca="1">IFERROR(SUMPRODUCT((WeeklyCumulative!$A$5:$A$32=tblBoardExport[[#This Row],[DepartmentID]])*(WeeklyCumulative!$F$5:$F$32)),0)</f>
        <v>0</v>
      </c>
    </row>
    <row r="10" spans="1:13" x14ac:dyDescent="0.25">
      <c r="A10" t="s">
        <v>252</v>
      </c>
      <c r="B10" s="99">
        <f ca="1">IFERROR(VLOOKUP(tblBoardExport[[#This Row],[DepartmentID]], WeeklyCumulative!$A$5:$G$32, 7, FALSE), "")</f>
        <v>41.679999999999993</v>
      </c>
      <c r="C10" cm="1">
        <f t="array" aca="1" ref="C10" ca="1">IFERROR(SUMPRODUCT((WeeklyCumulative!$A$5:$A$32=tblBoardExport[[#This Row],[DepartmentID]])*(WeeklyCumulative!$B$5:$F$32)),0)</f>
        <v>208.39999999999998</v>
      </c>
      <c r="D10">
        <f>WeeklyCumulative!$B$2</f>
        <v>7</v>
      </c>
      <c r="E10">
        <f>WeeklyCumulative!$D$2</f>
        <v>2026</v>
      </c>
      <c r="F10" cm="1">
        <f t="array" aca="1" ref="F10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0" cm="1">
        <f t="array" aca="1" ref="G10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0" s="13" cm="1">
        <f t="array" ref="H10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104.2</v>
      </c>
      <c r="I10" s="13" cm="1">
        <f t="array" aca="1" ref="I10" ca="1">IFERROR(SUMPRODUCT((WeeklyCumulative!$A$5:$A$32=tblBoardExport[[#This Row],[DepartmentID]])*(WeeklyCumulative!$B$5:$B$32)),0)</f>
        <v>104.8</v>
      </c>
      <c r="J10" s="13" cm="1">
        <f t="array" aca="1" ref="J10" ca="1">IFERROR(SUMPRODUCT((WeeklyCumulative!$A$5:$A$32=tblBoardExport[[#This Row],[DepartmentID]])*(WeeklyCumulative!$C$5:$C$32)),0)</f>
        <v>103.6</v>
      </c>
      <c r="K10" s="13" cm="1">
        <f t="array" aca="1" ref="K10" ca="1">IFERROR(SUMPRODUCT((WeeklyCumulative!$A$5:$A$32=tblBoardExport[[#This Row],[DepartmentID]])*(WeeklyCumulative!$D$5:$D$32)),0)</f>
        <v>0</v>
      </c>
      <c r="L10" s="13" cm="1">
        <f t="array" aca="1" ref="L10" ca="1">IFERROR(SUMPRODUCT((WeeklyCumulative!$A$5:$A$32=tblBoardExport[[#This Row],[DepartmentID]])*(WeeklyCumulative!$E$5:$E$32)),0)</f>
        <v>0</v>
      </c>
      <c r="M10" s="13" cm="1">
        <f t="array" aca="1" ref="M10" ca="1">IFERROR(SUMPRODUCT((WeeklyCumulative!$A$5:$A$32=tblBoardExport[[#This Row],[DepartmentID]])*(WeeklyCumulative!$F$5:$F$32)),0)</f>
        <v>0</v>
      </c>
    </row>
    <row r="11" spans="1:13" x14ac:dyDescent="0.25">
      <c r="A11" t="s">
        <v>253</v>
      </c>
      <c r="B11" s="99">
        <f ca="1">IFERROR(VLOOKUP(tblBoardExport[[#This Row],[DepartmentID]], WeeklyCumulative!$A$5:$G$32, 7, FALSE), "")</f>
        <v>39.64</v>
      </c>
      <c r="C11" cm="1">
        <f t="array" aca="1" ref="C11" ca="1">IFERROR(SUMPRODUCT((WeeklyCumulative!$A$5:$A$32=tblBoardExport[[#This Row],[DepartmentID]])*(WeeklyCumulative!$B$5:$F$32)),0)</f>
        <v>198.2</v>
      </c>
      <c r="D11">
        <f>WeeklyCumulative!$B$2</f>
        <v>7</v>
      </c>
      <c r="E11">
        <f>WeeklyCumulative!$D$2</f>
        <v>2026</v>
      </c>
      <c r="F11" cm="1">
        <f t="array" aca="1" ref="F11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1" cm="1">
        <f t="array" aca="1" ref="G11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1" s="13" cm="1">
        <f t="array" ref="H11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99.1</v>
      </c>
      <c r="I11" s="13" cm="1">
        <f t="array" aca="1" ref="I11" ca="1">IFERROR(SUMPRODUCT((WeeklyCumulative!$A$5:$A$32=tblBoardExport[[#This Row],[DepartmentID]])*(WeeklyCumulative!$B$5:$B$32)),0)</f>
        <v>94.6</v>
      </c>
      <c r="J11" s="13" cm="1">
        <f t="array" aca="1" ref="J11" ca="1">IFERROR(SUMPRODUCT((WeeklyCumulative!$A$5:$A$32=tblBoardExport[[#This Row],[DepartmentID]])*(WeeklyCumulative!$C$5:$C$32)),0)</f>
        <v>103.6</v>
      </c>
      <c r="K11" s="13" cm="1">
        <f t="array" aca="1" ref="K11" ca="1">IFERROR(SUMPRODUCT((WeeklyCumulative!$A$5:$A$32=tblBoardExport[[#This Row],[DepartmentID]])*(WeeklyCumulative!$D$5:$D$32)),0)</f>
        <v>0</v>
      </c>
      <c r="L11" s="13" cm="1">
        <f t="array" aca="1" ref="L11" ca="1">IFERROR(SUMPRODUCT((WeeklyCumulative!$A$5:$A$32=tblBoardExport[[#This Row],[DepartmentID]])*(WeeklyCumulative!$E$5:$E$32)),0)</f>
        <v>0</v>
      </c>
      <c r="M11" s="13" cm="1">
        <f t="array" aca="1" ref="M11" ca="1">IFERROR(SUMPRODUCT((WeeklyCumulative!$A$5:$A$32=tblBoardExport[[#This Row],[DepartmentID]])*(WeeklyCumulative!$F$5:$F$32)),0)</f>
        <v>0</v>
      </c>
    </row>
    <row r="12" spans="1:13" x14ac:dyDescent="0.25">
      <c r="A12" t="s">
        <v>254</v>
      </c>
      <c r="B12" s="99">
        <f ca="1">IFERROR(VLOOKUP(tblBoardExport[[#This Row],[DepartmentID]], WeeklyCumulative!$A$5:$G$32, 7, FALSE), "")</f>
        <v>20.2</v>
      </c>
      <c r="C12" cm="1">
        <f t="array" aca="1" ref="C12" ca="1">IFERROR(SUMPRODUCT((WeeklyCumulative!$A$5:$A$32=tblBoardExport[[#This Row],[DepartmentID]])*(WeeklyCumulative!$B$5:$F$32)),0)</f>
        <v>101</v>
      </c>
      <c r="D12">
        <f>WeeklyCumulative!$B$2</f>
        <v>7</v>
      </c>
      <c r="E12">
        <f>WeeklyCumulative!$D$2</f>
        <v>2026</v>
      </c>
      <c r="F12" cm="1">
        <f t="array" aca="1" ref="F12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2" cm="1">
        <f t="array" aca="1" ref="G1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2" s="13" cm="1">
        <f t="array" ref="H12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50.5</v>
      </c>
      <c r="I12" s="13" cm="1">
        <f t="array" aca="1" ref="I12" ca="1">IFERROR(SUMPRODUCT((WeeklyCumulative!$A$5:$A$32=tblBoardExport[[#This Row],[DepartmentID]])*(WeeklyCumulative!$B$5:$B$32)),0)</f>
        <v>61</v>
      </c>
      <c r="J12" s="13" cm="1">
        <f t="array" aca="1" ref="J12" ca="1">IFERROR(SUMPRODUCT((WeeklyCumulative!$A$5:$A$32=tblBoardExport[[#This Row],[DepartmentID]])*(WeeklyCumulative!$C$5:$C$32)),0)</f>
        <v>40</v>
      </c>
      <c r="K12" s="13" cm="1">
        <f t="array" aca="1" ref="K12" ca="1">IFERROR(SUMPRODUCT((WeeklyCumulative!$A$5:$A$32=tblBoardExport[[#This Row],[DepartmentID]])*(WeeklyCumulative!$D$5:$D$32)),0)</f>
        <v>0</v>
      </c>
      <c r="L12" s="13" cm="1">
        <f t="array" aca="1" ref="L12" ca="1">IFERROR(SUMPRODUCT((WeeklyCumulative!$A$5:$A$32=tblBoardExport[[#This Row],[DepartmentID]])*(WeeklyCumulative!$E$5:$E$32)),0)</f>
        <v>0</v>
      </c>
      <c r="M12" s="13" cm="1">
        <f t="array" aca="1" ref="M12" ca="1">IFERROR(SUMPRODUCT((WeeklyCumulative!$A$5:$A$32=tblBoardExport[[#This Row],[DepartmentID]])*(WeeklyCumulative!$F$5:$F$32)),0)</f>
        <v>0</v>
      </c>
    </row>
    <row r="13" spans="1:13" x14ac:dyDescent="0.25">
      <c r="A13" t="s">
        <v>255</v>
      </c>
      <c r="B13" s="99">
        <f ca="1">IFERROR(VLOOKUP(tblBoardExport[[#This Row],[DepartmentID]], WeeklyCumulative!$A$5:$G$32, 7, FALSE), "")</f>
        <v>33.200000000000003</v>
      </c>
      <c r="C13" cm="1">
        <f t="array" aca="1" ref="C13" ca="1">IFERROR(SUMPRODUCT((WeeklyCumulative!$A$5:$A$32=tblBoardExport[[#This Row],[DepartmentID]])*(WeeklyCumulative!$B$5:$F$32)),0)</f>
        <v>166</v>
      </c>
      <c r="D13">
        <f>WeeklyCumulative!$B$2</f>
        <v>7</v>
      </c>
      <c r="E13">
        <f>WeeklyCumulative!$D$2</f>
        <v>2026</v>
      </c>
      <c r="F13" cm="1">
        <f t="array" aca="1" ref="F13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3" cm="1">
        <f t="array" aca="1" ref="G1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3" s="13" cm="1">
        <f t="array" ref="H13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83</v>
      </c>
      <c r="I13" s="13" cm="1">
        <f t="array" aca="1" ref="I13" ca="1">IFERROR(SUMPRODUCT((WeeklyCumulative!$A$5:$A$32=tblBoardExport[[#This Row],[DepartmentID]])*(WeeklyCumulative!$B$5:$B$32)),0)</f>
        <v>103</v>
      </c>
      <c r="J13" s="13" cm="1">
        <f t="array" aca="1" ref="J13" ca="1">IFERROR(SUMPRODUCT((WeeklyCumulative!$A$5:$A$32=tblBoardExport[[#This Row],[DepartmentID]])*(WeeklyCumulative!$C$5:$C$32)),0)</f>
        <v>63</v>
      </c>
      <c r="K13" s="13" cm="1">
        <f t="array" aca="1" ref="K13" ca="1">IFERROR(SUMPRODUCT((WeeklyCumulative!$A$5:$A$32=tblBoardExport[[#This Row],[DepartmentID]])*(WeeklyCumulative!$D$5:$D$32)),0)</f>
        <v>0</v>
      </c>
      <c r="L13" s="13" cm="1">
        <f t="array" aca="1" ref="L13" ca="1">IFERROR(SUMPRODUCT((WeeklyCumulative!$A$5:$A$32=tblBoardExport[[#This Row],[DepartmentID]])*(WeeklyCumulative!$E$5:$E$32)),0)</f>
        <v>0</v>
      </c>
      <c r="M13" s="13" cm="1">
        <f t="array" aca="1" ref="M13" ca="1">IFERROR(SUMPRODUCT((WeeklyCumulative!$A$5:$A$32=tblBoardExport[[#This Row],[DepartmentID]])*(WeeklyCumulative!$F$5:$F$32)),0)</f>
        <v>0</v>
      </c>
    </row>
    <row r="14" spans="1:13" x14ac:dyDescent="0.25">
      <c r="A14" t="s">
        <v>257</v>
      </c>
      <c r="B14" s="99">
        <f ca="1">IFERROR(VLOOKUP(tblBoardExport[[#This Row],[DepartmentID]], WeeklyCumulative!$A$5:$G$32, 7, FALSE), "")</f>
        <v>37.200000000000003</v>
      </c>
      <c r="C14" cm="1">
        <f t="array" aca="1" ref="C14" ca="1">IFERROR(SUMPRODUCT((WeeklyCumulative!$A$5:$A$32=tblBoardExport[[#This Row],[DepartmentID]])*(WeeklyCumulative!$B$5:$F$32)),0)</f>
        <v>186</v>
      </c>
      <c r="D14">
        <f>WeeklyCumulative!$B$2</f>
        <v>7</v>
      </c>
      <c r="E14">
        <f>WeeklyCumulative!$D$2</f>
        <v>2026</v>
      </c>
      <c r="F14" cm="1">
        <f t="array" aca="1" ref="F14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4" cm="1">
        <f t="array" aca="1" ref="G1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4" s="13" cm="1">
        <f t="array" ref="H14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14" s="13" cm="1">
        <f t="array" aca="1" ref="I14" ca="1">IFERROR(SUMPRODUCT((WeeklyCumulative!$A$5:$A$32=tblBoardExport[[#This Row],[DepartmentID]])*(WeeklyCumulative!$B$5:$B$32)),0)</f>
        <v>83</v>
      </c>
      <c r="J14" s="13" cm="1">
        <f t="array" aca="1" ref="J14" ca="1">IFERROR(SUMPRODUCT((WeeklyCumulative!$A$5:$A$32=tblBoardExport[[#This Row],[DepartmentID]])*(WeeklyCumulative!$C$5:$C$32)),0)</f>
        <v>103</v>
      </c>
      <c r="K14" s="13" cm="1">
        <f t="array" aca="1" ref="K14" ca="1">IFERROR(SUMPRODUCT((WeeklyCumulative!$A$5:$A$32=tblBoardExport[[#This Row],[DepartmentID]])*(WeeklyCumulative!$D$5:$D$32)),0)</f>
        <v>0</v>
      </c>
      <c r="L14" s="13" cm="1">
        <f t="array" aca="1" ref="L14" ca="1">IFERROR(SUMPRODUCT((WeeklyCumulative!$A$5:$A$32=tblBoardExport[[#This Row],[DepartmentID]])*(WeeklyCumulative!$E$5:$E$32)),0)</f>
        <v>0</v>
      </c>
      <c r="M14" s="13" cm="1">
        <f t="array" aca="1" ref="M14" ca="1">IFERROR(SUMPRODUCT((WeeklyCumulative!$A$5:$A$32=tblBoardExport[[#This Row],[DepartmentID]])*(WeeklyCumulative!$F$5:$F$32)),0)</f>
        <v>0</v>
      </c>
    </row>
    <row r="15" spans="1:13" x14ac:dyDescent="0.25">
      <c r="A15" t="s">
        <v>258</v>
      </c>
      <c r="B15" s="99">
        <f ca="1">IFERROR(VLOOKUP(tblBoardExport[[#This Row],[DepartmentID]], WeeklyCumulative!$A$5:$G$32, 7, FALSE), "")</f>
        <v>35.200000000000003</v>
      </c>
      <c r="C15" cm="1">
        <f t="array" aca="1" ref="C15" ca="1">IFERROR(SUMPRODUCT((WeeklyCumulative!$A$5:$A$32=tblBoardExport[[#This Row],[DepartmentID]])*(WeeklyCumulative!$B$5:$F$32)),0)</f>
        <v>176</v>
      </c>
      <c r="D15">
        <f>WeeklyCumulative!$B$2</f>
        <v>7</v>
      </c>
      <c r="E15">
        <f>WeeklyCumulative!$D$2</f>
        <v>2026</v>
      </c>
      <c r="F15" cm="1">
        <f t="array" aca="1" ref="F15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5" cm="1">
        <f t="array" aca="1" ref="G1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5" s="13" cm="1">
        <f t="array" ref="H15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88</v>
      </c>
      <c r="I15" s="13" cm="1">
        <f t="array" aca="1" ref="I15" ca="1">IFERROR(SUMPRODUCT((WeeklyCumulative!$A$5:$A$32=tblBoardExport[[#This Row],[DepartmentID]])*(WeeklyCumulative!$B$5:$B$32)),0)</f>
        <v>103</v>
      </c>
      <c r="J15" s="13" cm="1">
        <f t="array" aca="1" ref="J15" ca="1">IFERROR(SUMPRODUCT((WeeklyCumulative!$A$5:$A$32=tblBoardExport[[#This Row],[DepartmentID]])*(WeeklyCumulative!$C$5:$C$32)),0)</f>
        <v>73</v>
      </c>
      <c r="K15" s="13" cm="1">
        <f t="array" aca="1" ref="K15" ca="1">IFERROR(SUMPRODUCT((WeeklyCumulative!$A$5:$A$32=tblBoardExport[[#This Row],[DepartmentID]])*(WeeklyCumulative!$D$5:$D$32)),0)</f>
        <v>0</v>
      </c>
      <c r="L15" s="13" cm="1">
        <f t="array" aca="1" ref="L15" ca="1">IFERROR(SUMPRODUCT((WeeklyCumulative!$A$5:$A$32=tblBoardExport[[#This Row],[DepartmentID]])*(WeeklyCumulative!$E$5:$E$32)),0)</f>
        <v>0</v>
      </c>
      <c r="M15" s="13" cm="1">
        <f t="array" aca="1" ref="M15" ca="1">IFERROR(SUMPRODUCT((WeeklyCumulative!$A$5:$A$32=tblBoardExport[[#This Row],[DepartmentID]])*(WeeklyCumulative!$F$5:$F$32)),0)</f>
        <v>0</v>
      </c>
    </row>
    <row r="16" spans="1:13" x14ac:dyDescent="0.25">
      <c r="A16" t="s">
        <v>259</v>
      </c>
      <c r="B16" s="99">
        <f ca="1">IFERROR(VLOOKUP(tblBoardExport[[#This Row],[DepartmentID]], WeeklyCumulative!$A$5:$G$32, 7, FALSE), "")</f>
        <v>36</v>
      </c>
      <c r="C16" cm="1">
        <f t="array" aca="1" ref="C16" ca="1">IFERROR(SUMPRODUCT((WeeklyCumulative!$A$5:$A$32=tblBoardExport[[#This Row],[DepartmentID]])*(WeeklyCumulative!$B$5:$F$32)),0)</f>
        <v>180</v>
      </c>
      <c r="D16">
        <f>WeeklyCumulative!$B$2</f>
        <v>7</v>
      </c>
      <c r="E16">
        <f>WeeklyCumulative!$D$2</f>
        <v>2026</v>
      </c>
      <c r="F16" cm="1">
        <f t="array" aca="1" ref="F16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6" cm="1">
        <f t="array" aca="1" ref="G1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6" s="13" cm="1">
        <f t="array" ref="H16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90</v>
      </c>
      <c r="I16" s="13" cm="1">
        <f t="array" aca="1" ref="I16" ca="1">IFERROR(SUMPRODUCT((WeeklyCumulative!$A$5:$A$32=tblBoardExport[[#This Row],[DepartmentID]])*(WeeklyCumulative!$B$5:$B$32)),0)</f>
        <v>100</v>
      </c>
      <c r="J16" s="13" cm="1">
        <f t="array" aca="1" ref="J16" ca="1">IFERROR(SUMPRODUCT((WeeklyCumulative!$A$5:$A$32=tblBoardExport[[#This Row],[DepartmentID]])*(WeeklyCumulative!$C$5:$C$32)),0)</f>
        <v>80</v>
      </c>
      <c r="K16" s="13" cm="1">
        <f t="array" aca="1" ref="K16" ca="1">IFERROR(SUMPRODUCT((WeeklyCumulative!$A$5:$A$32=tblBoardExport[[#This Row],[DepartmentID]])*(WeeklyCumulative!$D$5:$D$32)),0)</f>
        <v>0</v>
      </c>
      <c r="L16" s="13" cm="1">
        <f t="array" aca="1" ref="L16" ca="1">IFERROR(SUMPRODUCT((WeeklyCumulative!$A$5:$A$32=tblBoardExport[[#This Row],[DepartmentID]])*(WeeklyCumulative!$E$5:$E$32)),0)</f>
        <v>0</v>
      </c>
      <c r="M16" s="13" cm="1">
        <f t="array" aca="1" ref="M16" ca="1">IFERROR(SUMPRODUCT((WeeklyCumulative!$A$5:$A$32=tblBoardExport[[#This Row],[DepartmentID]])*(WeeklyCumulative!$F$5:$F$32)),0)</f>
        <v>0</v>
      </c>
    </row>
    <row r="17" spans="1:13" x14ac:dyDescent="0.25">
      <c r="A17" t="s">
        <v>260</v>
      </c>
      <c r="B17" s="99">
        <f ca="1">IFERROR(VLOOKUP(tblBoardExport[[#This Row],[DepartmentID]], WeeklyCumulative!$A$5:$G$32, 7, FALSE), "")</f>
        <v>41.2</v>
      </c>
      <c r="C17" cm="1">
        <f t="array" aca="1" ref="C17" ca="1">IFERROR(SUMPRODUCT((WeeklyCumulative!$A$5:$A$32=tblBoardExport[[#This Row],[DepartmentID]])*(WeeklyCumulative!$B$5:$F$32)),0)</f>
        <v>206</v>
      </c>
      <c r="D17">
        <f>WeeklyCumulative!$B$2</f>
        <v>7</v>
      </c>
      <c r="E17">
        <f>WeeklyCumulative!$D$2</f>
        <v>2026</v>
      </c>
      <c r="F17" cm="1">
        <f t="array" aca="1" ref="F17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7" cm="1">
        <f t="array" aca="1" ref="G1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7" s="13" cm="1">
        <f t="array" ref="H17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103</v>
      </c>
      <c r="I17" s="13" cm="1">
        <f t="array" aca="1" ref="I17" ca="1">IFERROR(SUMPRODUCT((WeeklyCumulative!$A$5:$A$32=tblBoardExport[[#This Row],[DepartmentID]])*(WeeklyCumulative!$B$5:$B$32)),0)</f>
        <v>103</v>
      </c>
      <c r="J17" s="13" cm="1">
        <f t="array" aca="1" ref="J17" ca="1">IFERROR(SUMPRODUCT((WeeklyCumulative!$A$5:$A$32=tblBoardExport[[#This Row],[DepartmentID]])*(WeeklyCumulative!$C$5:$C$32)),0)</f>
        <v>103</v>
      </c>
      <c r="K17" s="13" cm="1">
        <f t="array" aca="1" ref="K17" ca="1">IFERROR(SUMPRODUCT((WeeklyCumulative!$A$5:$A$32=tblBoardExport[[#This Row],[DepartmentID]])*(WeeklyCumulative!$D$5:$D$32)),0)</f>
        <v>0</v>
      </c>
      <c r="L17" s="13" cm="1">
        <f t="array" aca="1" ref="L17" ca="1">IFERROR(SUMPRODUCT((WeeklyCumulative!$A$5:$A$32=tblBoardExport[[#This Row],[DepartmentID]])*(WeeklyCumulative!$E$5:$E$32)),0)</f>
        <v>0</v>
      </c>
      <c r="M17" s="13" cm="1">
        <f t="array" aca="1" ref="M17" ca="1">IFERROR(SUMPRODUCT((WeeklyCumulative!$A$5:$A$32=tblBoardExport[[#This Row],[DepartmentID]])*(WeeklyCumulative!$F$5:$F$32)),0)</f>
        <v>0</v>
      </c>
    </row>
    <row r="18" spans="1:13" x14ac:dyDescent="0.25">
      <c r="A18" t="s">
        <v>261</v>
      </c>
      <c r="B18" s="99">
        <f ca="1">IFERROR(VLOOKUP(tblBoardExport[[#This Row],[DepartmentID]], WeeklyCumulative!$A$5:$G$32, 7, FALSE), "")</f>
        <v>37.200000000000003</v>
      </c>
      <c r="C18" cm="1">
        <f t="array" aca="1" ref="C18" ca="1">IFERROR(SUMPRODUCT((WeeklyCumulative!$A$5:$A$32=tblBoardExport[[#This Row],[DepartmentID]])*(WeeklyCumulative!$B$5:$F$32)),0)</f>
        <v>186</v>
      </c>
      <c r="D18">
        <f>WeeklyCumulative!$B$2</f>
        <v>7</v>
      </c>
      <c r="E18">
        <f>WeeklyCumulative!$D$2</f>
        <v>2026</v>
      </c>
      <c r="F18" cm="1">
        <f t="array" aca="1" ref="F18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8" cm="1">
        <f t="array" aca="1" ref="G1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8" s="13" cm="1">
        <f t="array" ref="H18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18" s="13" cm="1">
        <f t="array" aca="1" ref="I18" ca="1">IFERROR(SUMPRODUCT((WeeklyCumulative!$A$5:$A$32=tblBoardExport[[#This Row],[DepartmentID]])*(WeeklyCumulative!$B$5:$B$32)),0)</f>
        <v>83</v>
      </c>
      <c r="J18" s="13" cm="1">
        <f t="array" aca="1" ref="J18" ca="1">IFERROR(SUMPRODUCT((WeeklyCumulative!$A$5:$A$32=tblBoardExport[[#This Row],[DepartmentID]])*(WeeklyCumulative!$C$5:$C$32)),0)</f>
        <v>103</v>
      </c>
      <c r="K18" s="13" cm="1">
        <f t="array" aca="1" ref="K18" ca="1">IFERROR(SUMPRODUCT((WeeklyCumulative!$A$5:$A$32=tblBoardExport[[#This Row],[DepartmentID]])*(WeeklyCumulative!$D$5:$D$32)),0)</f>
        <v>0</v>
      </c>
      <c r="L18" s="13" cm="1">
        <f t="array" aca="1" ref="L18" ca="1">IFERROR(SUMPRODUCT((WeeklyCumulative!$A$5:$A$32=tblBoardExport[[#This Row],[DepartmentID]])*(WeeklyCumulative!$E$5:$E$32)),0)</f>
        <v>0</v>
      </c>
      <c r="M18" s="13" cm="1">
        <f t="array" aca="1" ref="M18" ca="1">IFERROR(SUMPRODUCT((WeeklyCumulative!$A$5:$A$32=tblBoardExport[[#This Row],[DepartmentID]])*(WeeklyCumulative!$F$5:$F$32)),0)</f>
        <v>0</v>
      </c>
    </row>
    <row r="19" spans="1:13" x14ac:dyDescent="0.25">
      <c r="A19" t="s">
        <v>267</v>
      </c>
      <c r="B19" s="99">
        <f ca="1">IFERROR(VLOOKUP(tblBoardExport[[#This Row],[DepartmentID]], WeeklyCumulative!$A$5:$G$32, 7, FALSE), "")</f>
        <v>41</v>
      </c>
      <c r="C19" cm="1">
        <f t="array" aca="1" ref="C19" ca="1">IFERROR(SUMPRODUCT((WeeklyCumulative!$A$5:$A$32=tblBoardExport[[#This Row],[DepartmentID]])*(WeeklyCumulative!$B$5:$F$32)),0)</f>
        <v>205</v>
      </c>
      <c r="D19">
        <f>WeeklyCumulative!$B$2</f>
        <v>7</v>
      </c>
      <c r="E19">
        <f>WeeklyCumulative!$D$2</f>
        <v>2026</v>
      </c>
      <c r="F19" cm="1">
        <f t="array" aca="1" ref="F19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19" cm="1">
        <f t="array" aca="1" ref="G1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9" s="13" cm="1">
        <f t="array" ref="H19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102.5</v>
      </c>
      <c r="I19" s="13" cm="1">
        <f t="array" aca="1" ref="I19" ca="1">IFERROR(SUMPRODUCT((WeeklyCumulative!$A$5:$A$32=tblBoardExport[[#This Row],[DepartmentID]])*(WeeklyCumulative!$B$5:$B$32)),0)</f>
        <v>105</v>
      </c>
      <c r="J19" s="13" cm="1">
        <f t="array" aca="1" ref="J19" ca="1">IFERROR(SUMPRODUCT((WeeklyCumulative!$A$5:$A$32=tblBoardExport[[#This Row],[DepartmentID]])*(WeeklyCumulative!$C$5:$C$32)),0)</f>
        <v>100</v>
      </c>
      <c r="K19" s="13" cm="1">
        <f t="array" aca="1" ref="K19" ca="1">IFERROR(SUMPRODUCT((WeeklyCumulative!$A$5:$A$32=tblBoardExport[[#This Row],[DepartmentID]])*(WeeklyCumulative!$D$5:$D$32)),0)</f>
        <v>0</v>
      </c>
      <c r="L19" s="13" cm="1">
        <f t="array" aca="1" ref="L19" ca="1">IFERROR(SUMPRODUCT((WeeklyCumulative!$A$5:$A$32=tblBoardExport[[#This Row],[DepartmentID]])*(WeeklyCumulative!$E$5:$E$32)),0)</f>
        <v>0</v>
      </c>
      <c r="M19" s="13" cm="1">
        <f t="array" aca="1" ref="M19" ca="1">IFERROR(SUMPRODUCT((WeeklyCumulative!$A$5:$A$32=tblBoardExport[[#This Row],[DepartmentID]])*(WeeklyCumulative!$F$5:$F$32)),0)</f>
        <v>0</v>
      </c>
    </row>
    <row r="20" spans="1:13" x14ac:dyDescent="0.25">
      <c r="A20" t="s">
        <v>268</v>
      </c>
      <c r="B20" s="99">
        <f ca="1">IFERROR(VLOOKUP(tblBoardExport[[#This Row],[DepartmentID]], WeeklyCumulative!$A$5:$G$32, 7, FALSE), "")</f>
        <v>31</v>
      </c>
      <c r="C20" cm="1">
        <f t="array" aca="1" ref="C20" ca="1">IFERROR(SUMPRODUCT((WeeklyCumulative!$A$5:$A$32=tblBoardExport[[#This Row],[DepartmentID]])*(WeeklyCumulative!$B$5:$F$32)),0)</f>
        <v>155</v>
      </c>
      <c r="D20">
        <f>WeeklyCumulative!$B$2</f>
        <v>7</v>
      </c>
      <c r="E20">
        <f>WeeklyCumulative!$D$2</f>
        <v>2026</v>
      </c>
      <c r="F20" cm="1">
        <f t="array" aca="1" ref="F20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0" cm="1">
        <f t="array" aca="1" ref="G20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0" s="13" cm="1">
        <f t="array" ref="H20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77.5</v>
      </c>
      <c r="I20" s="13" cm="1">
        <f t="array" aca="1" ref="I20" ca="1">IFERROR(SUMPRODUCT((WeeklyCumulative!$A$5:$A$32=tblBoardExport[[#This Row],[DepartmentID]])*(WeeklyCumulative!$B$5:$B$32)),0)</f>
        <v>105</v>
      </c>
      <c r="J20" s="13" cm="1">
        <f t="array" aca="1" ref="J20" ca="1">IFERROR(SUMPRODUCT((WeeklyCumulative!$A$5:$A$32=tblBoardExport[[#This Row],[DepartmentID]])*(WeeklyCumulative!$C$5:$C$32)),0)</f>
        <v>50</v>
      </c>
      <c r="K20" s="13" cm="1">
        <f t="array" aca="1" ref="K20" ca="1">IFERROR(SUMPRODUCT((WeeklyCumulative!$A$5:$A$32=tblBoardExport[[#This Row],[DepartmentID]])*(WeeklyCumulative!$D$5:$D$32)),0)</f>
        <v>0</v>
      </c>
      <c r="L20" s="13" cm="1">
        <f t="array" aca="1" ref="L20" ca="1">IFERROR(SUMPRODUCT((WeeklyCumulative!$A$5:$A$32=tblBoardExport[[#This Row],[DepartmentID]])*(WeeklyCumulative!$E$5:$E$32)),0)</f>
        <v>0</v>
      </c>
      <c r="M20" s="13" cm="1">
        <f t="array" aca="1" ref="M20" ca="1">IFERROR(SUMPRODUCT((WeeklyCumulative!$A$5:$A$32=tblBoardExport[[#This Row],[DepartmentID]])*(WeeklyCumulative!$F$5:$F$32)),0)</f>
        <v>0</v>
      </c>
    </row>
    <row r="21" spans="1:13" x14ac:dyDescent="0.25">
      <c r="A21" t="s">
        <v>269</v>
      </c>
      <c r="B21" s="99">
        <f ca="1">IFERROR(VLOOKUP(tblBoardExport[[#This Row],[DepartmentID]], WeeklyCumulative!$A$5:$G$32, 7, FALSE), "")</f>
        <v>20</v>
      </c>
      <c r="C21" cm="1">
        <f t="array" aca="1" ref="C21" ca="1">IFERROR(SUMPRODUCT((WeeklyCumulative!$A$5:$A$32=tblBoardExport[[#This Row],[DepartmentID]])*(WeeklyCumulative!$B$5:$F$32)),0)</f>
        <v>100</v>
      </c>
      <c r="D21">
        <f>WeeklyCumulative!$B$2</f>
        <v>7</v>
      </c>
      <c r="E21">
        <f>WeeklyCumulative!$D$2</f>
        <v>2026</v>
      </c>
      <c r="F21" cm="1">
        <f t="array" aca="1" ref="F21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1" cm="1">
        <f t="array" aca="1" ref="G21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1" s="13" cm="1">
        <f t="array" ref="H21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50</v>
      </c>
      <c r="I21" s="13" cm="1">
        <f t="array" aca="1" ref="I21" ca="1">IFERROR(SUMPRODUCT((WeeklyCumulative!$A$5:$A$32=tblBoardExport[[#This Row],[DepartmentID]])*(WeeklyCumulative!$B$5:$B$32)),0)</f>
        <v>50</v>
      </c>
      <c r="J21" s="13" cm="1">
        <f t="array" aca="1" ref="J21" ca="1">IFERROR(SUMPRODUCT((WeeklyCumulative!$A$5:$A$32=tblBoardExport[[#This Row],[DepartmentID]])*(WeeklyCumulative!$C$5:$C$32)),0)</f>
        <v>50</v>
      </c>
      <c r="K21" s="13" cm="1">
        <f t="array" aca="1" ref="K21" ca="1">IFERROR(SUMPRODUCT((WeeklyCumulative!$A$5:$A$32=tblBoardExport[[#This Row],[DepartmentID]])*(WeeklyCumulative!$D$5:$D$32)),0)</f>
        <v>0</v>
      </c>
      <c r="L21" s="13" cm="1">
        <f t="array" aca="1" ref="L21" ca="1">IFERROR(SUMPRODUCT((WeeklyCumulative!$A$5:$A$32=tblBoardExport[[#This Row],[DepartmentID]])*(WeeklyCumulative!$E$5:$E$32)),0)</f>
        <v>0</v>
      </c>
      <c r="M21" s="13" cm="1">
        <f t="array" aca="1" ref="M21" ca="1">IFERROR(SUMPRODUCT((WeeklyCumulative!$A$5:$A$32=tblBoardExport[[#This Row],[DepartmentID]])*(WeeklyCumulative!$F$5:$F$32)),0)</f>
        <v>0</v>
      </c>
    </row>
    <row r="22" spans="1:13" x14ac:dyDescent="0.25">
      <c r="A22" t="s">
        <v>270</v>
      </c>
      <c r="B22" s="99">
        <f ca="1">IFERROR(VLOOKUP(tblBoardExport[[#This Row],[DepartmentID]], WeeklyCumulative!$A$5:$G$32, 7, FALSE), "")</f>
        <v>40</v>
      </c>
      <c r="C22" cm="1">
        <f t="array" aca="1" ref="C22" ca="1">IFERROR(SUMPRODUCT((WeeklyCumulative!$A$5:$A$32=tblBoardExport[[#This Row],[DepartmentID]])*(WeeklyCumulative!$B$5:$F$32)),0)</f>
        <v>200</v>
      </c>
      <c r="D22">
        <f>WeeklyCumulative!$B$2</f>
        <v>7</v>
      </c>
      <c r="E22">
        <f>WeeklyCumulative!$D$2</f>
        <v>2026</v>
      </c>
      <c r="F22" cm="1">
        <f t="array" aca="1" ref="F22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2" cm="1">
        <f t="array" aca="1" ref="G2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2" s="13" cm="1">
        <f t="array" ref="H22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100</v>
      </c>
      <c r="I22" s="13" cm="1">
        <f t="array" aca="1" ref="I22" ca="1">IFERROR(SUMPRODUCT((WeeklyCumulative!$A$5:$A$32=tblBoardExport[[#This Row],[DepartmentID]])*(WeeklyCumulative!$B$5:$B$32)),0)</f>
        <v>100</v>
      </c>
      <c r="J22" s="13" cm="1">
        <f t="array" aca="1" ref="J22" ca="1">IFERROR(SUMPRODUCT((WeeklyCumulative!$A$5:$A$32=tblBoardExport[[#This Row],[DepartmentID]])*(WeeklyCumulative!$C$5:$C$32)),0)</f>
        <v>100</v>
      </c>
      <c r="K22" s="13" cm="1">
        <f t="array" aca="1" ref="K22" ca="1">IFERROR(SUMPRODUCT((WeeklyCumulative!$A$5:$A$32=tblBoardExport[[#This Row],[DepartmentID]])*(WeeklyCumulative!$D$5:$D$32)),0)</f>
        <v>0</v>
      </c>
      <c r="L22" s="13" cm="1">
        <f t="array" aca="1" ref="L22" ca="1">IFERROR(SUMPRODUCT((WeeklyCumulative!$A$5:$A$32=tblBoardExport[[#This Row],[DepartmentID]])*(WeeklyCumulative!$E$5:$E$32)),0)</f>
        <v>0</v>
      </c>
      <c r="M22" s="13" cm="1">
        <f t="array" aca="1" ref="M22" ca="1">IFERROR(SUMPRODUCT((WeeklyCumulative!$A$5:$A$32=tblBoardExport[[#This Row],[DepartmentID]])*(WeeklyCumulative!$F$5:$F$32)),0)</f>
        <v>0</v>
      </c>
    </row>
    <row r="23" spans="1:13" x14ac:dyDescent="0.25">
      <c r="A23" t="s">
        <v>271</v>
      </c>
      <c r="B23" s="99">
        <f ca="1">IFERROR(VLOOKUP(tblBoardExport[[#This Row],[DepartmentID]], WeeklyCumulative!$A$5:$G$32, 7, FALSE), "")</f>
        <v>37.200000000000003</v>
      </c>
      <c r="C23" cm="1">
        <f t="array" aca="1" ref="C23" ca="1">IFERROR(SUMPRODUCT((WeeklyCumulative!$A$5:$A$32=tblBoardExport[[#This Row],[DepartmentID]])*(WeeklyCumulative!$B$5:$F$32)),0)</f>
        <v>186</v>
      </c>
      <c r="D23">
        <f>WeeklyCumulative!$B$2</f>
        <v>7</v>
      </c>
      <c r="E23">
        <f>WeeklyCumulative!$D$2</f>
        <v>2026</v>
      </c>
      <c r="F23" cm="1">
        <f t="array" aca="1" ref="F23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3" cm="1">
        <f t="array" aca="1" ref="G2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3" s="13" cm="1">
        <f t="array" ref="H23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23" s="13" cm="1">
        <f t="array" aca="1" ref="I23" ca="1">IFERROR(SUMPRODUCT((WeeklyCumulative!$A$5:$A$32=tblBoardExport[[#This Row],[DepartmentID]])*(WeeklyCumulative!$B$5:$B$32)),0)</f>
        <v>83</v>
      </c>
      <c r="J23" s="13" cm="1">
        <f t="array" aca="1" ref="J23" ca="1">IFERROR(SUMPRODUCT((WeeklyCumulative!$A$5:$A$32=tblBoardExport[[#This Row],[DepartmentID]])*(WeeklyCumulative!$C$5:$C$32)),0)</f>
        <v>103</v>
      </c>
      <c r="K23" s="13" cm="1">
        <f t="array" aca="1" ref="K23" ca="1">IFERROR(SUMPRODUCT((WeeklyCumulative!$A$5:$A$32=tblBoardExport[[#This Row],[DepartmentID]])*(WeeklyCumulative!$D$5:$D$32)),0)</f>
        <v>0</v>
      </c>
      <c r="L23" s="13" cm="1">
        <f t="array" aca="1" ref="L23" ca="1">IFERROR(SUMPRODUCT((WeeklyCumulative!$A$5:$A$32=tblBoardExport[[#This Row],[DepartmentID]])*(WeeklyCumulative!$E$5:$E$32)),0)</f>
        <v>0</v>
      </c>
      <c r="M23" s="13" cm="1">
        <f t="array" aca="1" ref="M23" ca="1">IFERROR(SUMPRODUCT((WeeklyCumulative!$A$5:$A$32=tblBoardExport[[#This Row],[DepartmentID]])*(WeeklyCumulative!$F$5:$F$32)),0)</f>
        <v>0</v>
      </c>
    </row>
    <row r="24" spans="1:13" x14ac:dyDescent="0.25">
      <c r="A24" t="s">
        <v>272</v>
      </c>
      <c r="B24" s="99">
        <f ca="1">IFERROR(VLOOKUP(tblBoardExport[[#This Row],[DepartmentID]], WeeklyCumulative!$A$5:$G$32, 7, FALSE), "")</f>
        <v>40.6</v>
      </c>
      <c r="C24" cm="1">
        <f t="array" aca="1" ref="C24" ca="1">IFERROR(SUMPRODUCT((WeeklyCumulative!$A$5:$A$32=tblBoardExport[[#This Row],[DepartmentID]])*(WeeklyCumulative!$B$5:$F$32)),0)</f>
        <v>203</v>
      </c>
      <c r="D24">
        <f>WeeklyCumulative!$B$2</f>
        <v>7</v>
      </c>
      <c r="E24">
        <f>WeeklyCumulative!$D$2</f>
        <v>2026</v>
      </c>
      <c r="F24" cm="1">
        <f t="array" aca="1" ref="F24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4" cm="1">
        <f t="array" aca="1" ref="G2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4" s="13" cm="1">
        <f t="array" ref="H24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101.5</v>
      </c>
      <c r="I24" s="13" cm="1">
        <f t="array" aca="1" ref="I24" ca="1">IFERROR(SUMPRODUCT((WeeklyCumulative!$A$5:$A$32=tblBoardExport[[#This Row],[DepartmentID]])*(WeeklyCumulative!$B$5:$B$32)),0)</f>
        <v>103</v>
      </c>
      <c r="J24" s="13" cm="1">
        <f t="array" aca="1" ref="J24" ca="1">IFERROR(SUMPRODUCT((WeeklyCumulative!$A$5:$A$32=tblBoardExport[[#This Row],[DepartmentID]])*(WeeklyCumulative!$C$5:$C$32)),0)</f>
        <v>100</v>
      </c>
      <c r="K24" s="13" cm="1">
        <f t="array" aca="1" ref="K24" ca="1">IFERROR(SUMPRODUCT((WeeklyCumulative!$A$5:$A$32=tblBoardExport[[#This Row],[DepartmentID]])*(WeeklyCumulative!$D$5:$D$32)),0)</f>
        <v>0</v>
      </c>
      <c r="L24" s="13" cm="1">
        <f t="array" aca="1" ref="L24" ca="1">IFERROR(SUMPRODUCT((WeeklyCumulative!$A$5:$A$32=tblBoardExport[[#This Row],[DepartmentID]])*(WeeklyCumulative!$E$5:$E$32)),0)</f>
        <v>0</v>
      </c>
      <c r="M24" s="13" cm="1">
        <f t="array" aca="1" ref="M24" ca="1">IFERROR(SUMPRODUCT((WeeklyCumulative!$A$5:$A$32=tblBoardExport[[#This Row],[DepartmentID]])*(WeeklyCumulative!$F$5:$F$32)),0)</f>
        <v>0</v>
      </c>
    </row>
    <row r="25" spans="1:13" x14ac:dyDescent="0.25">
      <c r="A25" t="s">
        <v>265</v>
      </c>
      <c r="B25" s="99">
        <f ca="1">IFERROR(VLOOKUP(tblBoardExport[[#This Row],[DepartmentID]], WeeklyCumulative!$A$5:$G$32, 7, FALSE), "")</f>
        <v>42</v>
      </c>
      <c r="C25" cm="1">
        <f t="array" aca="1" ref="C25" ca="1">IFERROR(SUMPRODUCT((WeeklyCumulative!$A$5:$A$32=tblBoardExport[[#This Row],[DepartmentID]])*(WeeklyCumulative!$B$5:$F$32)),0)</f>
        <v>210</v>
      </c>
      <c r="D25">
        <f>WeeklyCumulative!$B$2</f>
        <v>7</v>
      </c>
      <c r="E25">
        <f>WeeklyCumulative!$D$2</f>
        <v>2026</v>
      </c>
      <c r="F25" cm="1">
        <f t="array" aca="1" ref="F25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5" cm="1">
        <f t="array" aca="1" ref="G2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5" s="13" cm="1">
        <f t="array" ref="H25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105</v>
      </c>
      <c r="I25" s="13" cm="1">
        <f t="array" aca="1" ref="I25" ca="1">IFERROR(SUMPRODUCT((WeeklyCumulative!$A$5:$A$32=tblBoardExport[[#This Row],[DepartmentID]])*(WeeklyCumulative!$B$5:$B$32)),0)</f>
        <v>105</v>
      </c>
      <c r="J25" s="13" cm="1">
        <f t="array" aca="1" ref="J25" ca="1">IFERROR(SUMPRODUCT((WeeklyCumulative!$A$5:$A$32=tblBoardExport[[#This Row],[DepartmentID]])*(WeeklyCumulative!$C$5:$C$32)),0)</f>
        <v>105</v>
      </c>
      <c r="K25" s="13" cm="1">
        <f t="array" aca="1" ref="K25" ca="1">IFERROR(SUMPRODUCT((WeeklyCumulative!$A$5:$A$32=tblBoardExport[[#This Row],[DepartmentID]])*(WeeklyCumulative!$D$5:$D$32)),0)</f>
        <v>0</v>
      </c>
      <c r="L25" s="13" cm="1">
        <f t="array" aca="1" ref="L25" ca="1">IFERROR(SUMPRODUCT((WeeklyCumulative!$A$5:$A$32=tblBoardExport[[#This Row],[DepartmentID]])*(WeeklyCumulative!$E$5:$E$32)),0)</f>
        <v>0</v>
      </c>
      <c r="M25" s="13" cm="1">
        <f t="array" aca="1" ref="M25" ca="1">IFERROR(SUMPRODUCT((WeeklyCumulative!$A$5:$A$32=tblBoardExport[[#This Row],[DepartmentID]])*(WeeklyCumulative!$F$5:$F$32)),0)</f>
        <v>0</v>
      </c>
    </row>
    <row r="26" spans="1:13" x14ac:dyDescent="0.25">
      <c r="A26" t="s">
        <v>266</v>
      </c>
      <c r="B26" s="99">
        <f ca="1">IFERROR(VLOOKUP(tblBoardExport[[#This Row],[DepartmentID]], WeeklyCumulative!$A$5:$G$32, 7, FALSE), "")</f>
        <v>4</v>
      </c>
      <c r="C26" cm="1">
        <f t="array" aca="1" ref="C26" ca="1">IFERROR(SUMPRODUCT((WeeklyCumulative!$A$5:$A$32=tblBoardExport[[#This Row],[DepartmentID]])*(WeeklyCumulative!$B$5:$F$32)),0)</f>
        <v>20</v>
      </c>
      <c r="D26">
        <f>WeeklyCumulative!$B$2</f>
        <v>7</v>
      </c>
      <c r="E26">
        <f>WeeklyCumulative!$D$2</f>
        <v>2026</v>
      </c>
      <c r="F26" cm="1">
        <f t="array" aca="1" ref="F26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1</v>
      </c>
      <c r="G26" cm="1">
        <f t="array" aca="1" ref="G2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6" s="13" cm="1">
        <f t="array" ref="H26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</v>
      </c>
      <c r="I26" s="13" cm="1">
        <f t="array" aca="1" ref="I26" ca="1">IFERROR(SUMPRODUCT((WeeklyCumulative!$A$5:$A$32=tblBoardExport[[#This Row],[DepartmentID]])*(WeeklyCumulative!$B$5:$B$32)),0)</f>
        <v>20</v>
      </c>
      <c r="J26" s="13" cm="1">
        <f t="array" aca="1" ref="J26" ca="1">IFERROR(SUMPRODUCT((WeeklyCumulative!$A$5:$A$32=tblBoardExport[[#This Row],[DepartmentID]])*(WeeklyCumulative!$C$5:$C$32)),0)</f>
        <v>0</v>
      </c>
      <c r="K26" s="13" cm="1">
        <f t="array" aca="1" ref="K26" ca="1">IFERROR(SUMPRODUCT((WeeklyCumulative!$A$5:$A$32=tblBoardExport[[#This Row],[DepartmentID]])*(WeeklyCumulative!$D$5:$D$32)),0)</f>
        <v>0</v>
      </c>
      <c r="L26" s="13" cm="1">
        <f t="array" aca="1" ref="L26" ca="1">IFERROR(SUMPRODUCT((WeeklyCumulative!$A$5:$A$32=tblBoardExport[[#This Row],[DepartmentID]])*(WeeklyCumulative!$E$5:$E$32)),0)</f>
        <v>0</v>
      </c>
      <c r="M26" s="13" cm="1">
        <f t="array" aca="1" ref="M26" ca="1">IFERROR(SUMPRODUCT((WeeklyCumulative!$A$5:$A$32=tblBoardExport[[#This Row],[DepartmentID]])*(WeeklyCumulative!$F$5:$F$32)),0)</f>
        <v>0</v>
      </c>
    </row>
    <row r="27" spans="1:13" x14ac:dyDescent="0.25">
      <c r="A27" t="s">
        <v>262</v>
      </c>
      <c r="B27" s="99">
        <f ca="1">IFERROR(VLOOKUP(tblBoardExport[[#This Row],[DepartmentID]], WeeklyCumulative!$A$5:$G$32, 7, FALSE), "")</f>
        <v>10</v>
      </c>
      <c r="C27" cm="1">
        <f t="array" aca="1" ref="C27" ca="1">IFERROR(SUMPRODUCT((WeeklyCumulative!$A$5:$A$32=tblBoardExport[[#This Row],[DepartmentID]])*(WeeklyCumulative!$B$5:$F$32)),0)</f>
        <v>50</v>
      </c>
      <c r="D27">
        <f>WeeklyCumulative!$B$2</f>
        <v>7</v>
      </c>
      <c r="E27">
        <f>WeeklyCumulative!$D$2</f>
        <v>2026</v>
      </c>
      <c r="F27" cm="1">
        <f t="array" aca="1" ref="F27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7" cm="1">
        <f t="array" aca="1" ref="G2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7" s="13" cm="1">
        <f t="array" ref="H27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25</v>
      </c>
      <c r="I27" s="13" cm="1">
        <f t="array" aca="1" ref="I27" ca="1">IFERROR(SUMPRODUCT((WeeklyCumulative!$A$5:$A$32=tblBoardExport[[#This Row],[DepartmentID]])*(WeeklyCumulative!$B$5:$B$32)),0)</f>
        <v>20</v>
      </c>
      <c r="J27" s="13" cm="1">
        <f t="array" aca="1" ref="J27" ca="1">IFERROR(SUMPRODUCT((WeeklyCumulative!$A$5:$A$32=tblBoardExport[[#This Row],[DepartmentID]])*(WeeklyCumulative!$C$5:$C$32)),0)</f>
        <v>30</v>
      </c>
      <c r="K27" s="13" cm="1">
        <f t="array" aca="1" ref="K27" ca="1">IFERROR(SUMPRODUCT((WeeklyCumulative!$A$5:$A$32=tblBoardExport[[#This Row],[DepartmentID]])*(WeeklyCumulative!$D$5:$D$32)),0)</f>
        <v>0</v>
      </c>
      <c r="L27" s="13" cm="1">
        <f t="array" aca="1" ref="L27" ca="1">IFERROR(SUMPRODUCT((WeeklyCumulative!$A$5:$A$32=tblBoardExport[[#This Row],[DepartmentID]])*(WeeklyCumulative!$E$5:$E$32)),0)</f>
        <v>0</v>
      </c>
      <c r="M27" s="13" cm="1">
        <f t="array" aca="1" ref="M27" ca="1">IFERROR(SUMPRODUCT((WeeklyCumulative!$A$5:$A$32=tblBoardExport[[#This Row],[DepartmentID]])*(WeeklyCumulative!$F$5:$F$32)),0)</f>
        <v>0</v>
      </c>
    </row>
    <row r="28" spans="1:13" x14ac:dyDescent="0.25">
      <c r="A28" t="s">
        <v>263</v>
      </c>
      <c r="B28" s="99">
        <f ca="1">IFERROR(VLOOKUP(tblBoardExport[[#This Row],[DepartmentID]], WeeklyCumulative!$A$5:$G$32, 7, FALSE), "")</f>
        <v>27.2</v>
      </c>
      <c r="C28" cm="1">
        <f t="array" aca="1" ref="C28" ca="1">IFERROR(SUMPRODUCT((WeeklyCumulative!$A$5:$A$32=tblBoardExport[[#This Row],[DepartmentID]])*(WeeklyCumulative!$B$5:$F$32)),0)</f>
        <v>136</v>
      </c>
      <c r="D28">
        <f>WeeklyCumulative!$B$2</f>
        <v>7</v>
      </c>
      <c r="E28">
        <f>WeeklyCumulative!$D$2</f>
        <v>2026</v>
      </c>
      <c r="F28" cm="1">
        <f t="array" aca="1" ref="F28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2</v>
      </c>
      <c r="G28" cm="1">
        <f t="array" aca="1" ref="G2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8" s="13" cm="1">
        <f t="array" ref="H28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68</v>
      </c>
      <c r="I28" s="13" cm="1">
        <f t="array" aca="1" ref="I28" ca="1">IFERROR(SUMPRODUCT((WeeklyCumulative!$A$5:$A$32=tblBoardExport[[#This Row],[DepartmentID]])*(WeeklyCumulative!$B$5:$B$32)),0)</f>
        <v>83</v>
      </c>
      <c r="J28" s="13" cm="1">
        <f t="array" aca="1" ref="J28" ca="1">IFERROR(SUMPRODUCT((WeeklyCumulative!$A$5:$A$32=tblBoardExport[[#This Row],[DepartmentID]])*(WeeklyCumulative!$C$5:$C$32)),0)</f>
        <v>53</v>
      </c>
      <c r="K28" s="13" cm="1">
        <f t="array" aca="1" ref="K28" ca="1">IFERROR(SUMPRODUCT((WeeklyCumulative!$A$5:$A$32=tblBoardExport[[#This Row],[DepartmentID]])*(WeeklyCumulative!$D$5:$D$32)),0)</f>
        <v>0</v>
      </c>
      <c r="L28" s="13" cm="1">
        <f t="array" aca="1" ref="L28" ca="1">IFERROR(SUMPRODUCT((WeeklyCumulative!$A$5:$A$32=tblBoardExport[[#This Row],[DepartmentID]])*(WeeklyCumulative!$E$5:$E$32)),0)</f>
        <v>0</v>
      </c>
      <c r="M28" s="13" cm="1">
        <f t="array" aca="1" ref="M28" ca="1">IFERROR(SUMPRODUCT((WeeklyCumulative!$A$5:$A$32=tblBoardExport[[#This Row],[DepartmentID]])*(WeeklyCumulative!$F$5:$F$32)),0)</f>
        <v>0</v>
      </c>
    </row>
    <row r="29" spans="1:13" x14ac:dyDescent="0.25">
      <c r="A29" t="s">
        <v>264</v>
      </c>
      <c r="B29" s="99">
        <f ca="1">IFERROR(VLOOKUP(tblBoardExport[[#This Row],[DepartmentID]], WeeklyCumulative!$A$5:$G$32, 7, FALSE), "")</f>
        <v>15</v>
      </c>
      <c r="C29" cm="1">
        <f t="array" aca="1" ref="C29" ca="1">IFERROR(SUMPRODUCT((WeeklyCumulative!$A$5:$A$32=tblBoardExport[[#This Row],[DepartmentID]])*(WeeklyCumulative!$B$5:$F$32)),0)</f>
        <v>75</v>
      </c>
      <c r="D29">
        <f>WeeklyCumulative!$B$2</f>
        <v>7</v>
      </c>
      <c r="E29">
        <f>WeeklyCumulative!$D$2</f>
        <v>2026</v>
      </c>
      <c r="F29" cm="1">
        <f t="array" aca="1" ref="F29" ca="1">IFERROR(SUMPRODUCT((WeeklyCumulative!$A$5:$A$32=tblBoardExport[[#This Row],[DepartmentID]])*((WeeklyCumulative!$B$5:$B$32&gt;0)*1+(WeeklyCumulative!$C$5:$C$32&gt;0)*1+(WeeklyCumulative!$D$5:$D$32&gt;0)*1+(WeeklyCumulative!$E$5:$E$32&gt;0)*1+(WeeklyCumulative!$F$5:$F$32&gt;0)*1)),0)</f>
        <v>1</v>
      </c>
      <c r="G29" cm="1">
        <f t="array" aca="1" ref="G2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9" s="13" cm="1">
        <f t="array" ref="H29">_xlfn.LET(
        _xlpm.rawName,tblBoardExport[[#This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37.5</v>
      </c>
      <c r="I29" s="13" cm="1">
        <f t="array" aca="1" ref="I29" ca="1">IFERROR(SUMPRODUCT((WeeklyCumulative!$A$5:$A$32=tblBoardExport[[#This Row],[DepartmentID]])*(WeeklyCumulative!$B$5:$B$32)),0)</f>
        <v>0</v>
      </c>
      <c r="J29" s="13" cm="1">
        <f t="array" aca="1" ref="J29" ca="1">IFERROR(SUMPRODUCT((WeeklyCumulative!$A$5:$A$32=tblBoardExport[[#This Row],[DepartmentID]])*(WeeklyCumulative!$C$5:$C$32)),0)</f>
        <v>75</v>
      </c>
      <c r="K29" s="13" cm="1">
        <f t="array" aca="1" ref="K29" ca="1">IFERROR(SUMPRODUCT((WeeklyCumulative!$A$5:$A$32=tblBoardExport[[#This Row],[DepartmentID]])*(WeeklyCumulative!$D$5:$D$32)),0)</f>
        <v>0</v>
      </c>
      <c r="L29" s="13" cm="1">
        <f t="array" aca="1" ref="L29" ca="1">IFERROR(SUMPRODUCT((WeeklyCumulative!$A$5:$A$32=tblBoardExport[[#This Row],[DepartmentID]])*(WeeklyCumulative!$E$5:$E$32)),0)</f>
        <v>0</v>
      </c>
      <c r="M29" s="13" cm="1">
        <f t="array" aca="1" ref="M29" ca="1">IFERROR(SUMPRODUCT((WeeklyCumulative!$A$5:$A$32=tblBoardExport[[#This Row],[DepartmentID]])*(WeeklyCumulative!$F$5:$F$32)),0)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338D-9FA8-4A42-A208-2CE914F3B100}">
  <sheetPr codeName="Sheet10"/>
  <dimension ref="A1:N29"/>
  <sheetViews>
    <sheetView workbookViewId="0">
      <selection activeCell="Q20" sqref="Q20"/>
    </sheetView>
  </sheetViews>
  <sheetFormatPr defaultRowHeight="15" x14ac:dyDescent="0.25"/>
  <cols>
    <col min="1" max="1" width="16.42578125" bestFit="1" customWidth="1"/>
    <col min="2" max="2" width="13.85546875" bestFit="1" customWidth="1"/>
    <col min="3" max="3" width="13" bestFit="1" customWidth="1"/>
    <col min="4" max="4" width="9.28515625" bestFit="1" customWidth="1"/>
    <col min="5" max="5" width="7.28515625" bestFit="1" customWidth="1"/>
    <col min="6" max="6" width="20" bestFit="1" customWidth="1"/>
    <col min="7" max="7" width="13.7109375" bestFit="1" customWidth="1"/>
    <col min="8" max="8" width="14.140625" bestFit="1" customWidth="1"/>
    <col min="9" max="13" width="10" bestFit="1" customWidth="1"/>
  </cols>
  <sheetData>
    <row r="1" spans="1:14" x14ac:dyDescent="0.25">
      <c r="A1" t="s">
        <v>238</v>
      </c>
      <c r="B1" t="s">
        <v>244</v>
      </c>
      <c r="C1" t="s">
        <v>193</v>
      </c>
      <c r="D1" t="s">
        <v>158</v>
      </c>
      <c r="E1" t="s">
        <v>159</v>
      </c>
      <c r="F1" t="s">
        <v>288</v>
      </c>
      <c r="G1" t="s">
        <v>289</v>
      </c>
      <c r="H1" t="s">
        <v>290</v>
      </c>
      <c r="I1" t="s">
        <v>239</v>
      </c>
      <c r="J1" t="s">
        <v>240</v>
      </c>
      <c r="K1" t="s">
        <v>241</v>
      </c>
      <c r="L1" t="s">
        <v>242</v>
      </c>
      <c r="M1" t="s">
        <v>243</v>
      </c>
      <c r="N1" t="s">
        <v>198</v>
      </c>
    </row>
    <row r="2" spans="1:14" x14ac:dyDescent="0.25">
      <c r="A2" t="s">
        <v>250</v>
      </c>
      <c r="B2" s="99">
        <f ca="1">IFERROR(VLOOKUP(tblBoardExport3[[#This Row],[DepartmentID]], WeeklyCumulative!$A$5:$G$32, 7, FALSE), "")</f>
        <v>42.4</v>
      </c>
      <c r="C2" cm="1">
        <f t="array" aca="1" ref="C2" ca="1">IFERROR(SUMPRODUCT((WeeklyCumulative!$A$5:$A$32=tblBoardExport3[[#This Row],[DepartmentID]])*(WeeklyCumulative!$B$5:$F$32)),0)</f>
        <v>212</v>
      </c>
      <c r="D2">
        <f>WeeklyCumulative!$B$2</f>
        <v>7</v>
      </c>
      <c r="E2">
        <f>WeeklyCumulative!$D$2</f>
        <v>2026</v>
      </c>
      <c r="F2" cm="1">
        <f t="array" aca="1" ref="F2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" cm="1">
        <f t="array" aca="1" ref="G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" s="13" cm="1">
        <f t="array" ref="H2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106</v>
      </c>
      <c r="I2" s="13" cm="1">
        <f t="array" aca="1" ref="I2" ca="1">IFERROR(SUMPRODUCT((WeeklyCumulative!$A$5:$A$32=tblBoardExport3[[#This Row],[DepartmentID]])*(WeeklyCumulative!$B$5:$B$32)),0)</f>
        <v>108</v>
      </c>
      <c r="J2" s="13" cm="1">
        <f t="array" aca="1" ref="J2" ca="1">IFERROR(SUMPRODUCT((WeeklyCumulative!$A$5:$A$32=tblBoardExport3[[#This Row],[DepartmentID]])*(WeeklyCumulative!$C$5:$C$32)),0)</f>
        <v>104</v>
      </c>
      <c r="K2" s="13" cm="1">
        <f t="array" aca="1" ref="K2" ca="1">IFERROR(SUMPRODUCT((WeeklyCumulative!$A$5:$A$32=tblBoardExport3[[#This Row],[DepartmentID]])*(WeeklyCumulative!$D$5:$D$32)),0)</f>
        <v>0</v>
      </c>
      <c r="L2" s="13" cm="1">
        <f t="array" aca="1" ref="L2" ca="1">IFERROR(SUMPRODUCT((WeeklyCumulative!$A$5:$A$32=tblBoardExport3[[#This Row],[DepartmentID]])*(WeeklyCumulative!$E$5:$E$32)),0)</f>
        <v>0</v>
      </c>
      <c r="M2" s="13" cm="1">
        <f t="array" aca="1" ref="M2" ca="1">IFERROR(SUMPRODUCT((WeeklyCumulative!$A$5:$A$32=tblBoardExport3[[#This Row],[DepartmentID]])*(WeeklyCumulative!$F$5:$F$32)),0)</f>
        <v>0</v>
      </c>
      <c r="N2" s="13">
        <f ca="1">_xlfn.RANK.AVG(tblBoardExport3[[#This Row],[Game Score]],tblBoardExport3[Game Score],0)</f>
        <v>1</v>
      </c>
    </row>
    <row r="3" spans="1:14" x14ac:dyDescent="0.25">
      <c r="A3" t="s">
        <v>265</v>
      </c>
      <c r="B3" s="99">
        <f ca="1">IFERROR(VLOOKUP(tblBoardExport3[[#This Row],[DepartmentID]], WeeklyCumulative!$A$5:$G$32, 7, FALSE), "")</f>
        <v>42</v>
      </c>
      <c r="C3" cm="1">
        <f t="array" aca="1" ref="C3" ca="1">IFERROR(SUMPRODUCT((WeeklyCumulative!$A$5:$A$32=tblBoardExport3[[#This Row],[DepartmentID]])*(WeeklyCumulative!$B$5:$F$32)),0)</f>
        <v>210</v>
      </c>
      <c r="D3">
        <f>WeeklyCumulative!$B$2</f>
        <v>7</v>
      </c>
      <c r="E3">
        <f>WeeklyCumulative!$D$2</f>
        <v>2026</v>
      </c>
      <c r="F3" cm="1">
        <f t="array" aca="1" ref="F3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3" cm="1">
        <f t="array" aca="1" ref="G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3" s="13" cm="1">
        <f t="array" ref="H3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105</v>
      </c>
      <c r="I3" s="13" cm="1">
        <f t="array" aca="1" ref="I3" ca="1">IFERROR(SUMPRODUCT((WeeklyCumulative!$A$5:$A$32=tblBoardExport3[[#This Row],[DepartmentID]])*(WeeklyCumulative!$B$5:$B$32)),0)</f>
        <v>105</v>
      </c>
      <c r="J3" s="13" cm="1">
        <f t="array" aca="1" ref="J3" ca="1">IFERROR(SUMPRODUCT((WeeklyCumulative!$A$5:$A$32=tblBoardExport3[[#This Row],[DepartmentID]])*(WeeklyCumulative!$C$5:$C$32)),0)</f>
        <v>105</v>
      </c>
      <c r="K3" s="13" cm="1">
        <f t="array" aca="1" ref="K3" ca="1">IFERROR(SUMPRODUCT((WeeklyCumulative!$A$5:$A$32=tblBoardExport3[[#This Row],[DepartmentID]])*(WeeklyCumulative!$D$5:$D$32)),0)</f>
        <v>0</v>
      </c>
      <c r="L3" s="13" cm="1">
        <f t="array" aca="1" ref="L3" ca="1">IFERROR(SUMPRODUCT((WeeklyCumulative!$A$5:$A$32=tblBoardExport3[[#This Row],[DepartmentID]])*(WeeklyCumulative!$E$5:$E$32)),0)</f>
        <v>0</v>
      </c>
      <c r="M3" s="13" cm="1">
        <f t="array" aca="1" ref="M3" ca="1">IFERROR(SUMPRODUCT((WeeklyCumulative!$A$5:$A$32=tblBoardExport3[[#This Row],[DepartmentID]])*(WeeklyCumulative!$F$5:$F$32)),0)</f>
        <v>0</v>
      </c>
      <c r="N3" s="13">
        <f ca="1">_xlfn.RANK.AVG(tblBoardExport3[[#This Row],[Game Score]],tblBoardExport3[Game Score],0)</f>
        <v>2</v>
      </c>
    </row>
    <row r="4" spans="1:14" x14ac:dyDescent="0.25">
      <c r="A4" t="s">
        <v>246</v>
      </c>
      <c r="B4" s="99">
        <f ca="1">IFERROR(VLOOKUP(tblBoardExport3[[#This Row],[DepartmentID]], WeeklyCumulative!$A$5:$G$32, 7, FALSE), "")</f>
        <v>41.8</v>
      </c>
      <c r="C4" cm="1">
        <f t="array" aca="1" ref="C4" ca="1">IFERROR(SUMPRODUCT((WeeklyCumulative!$A$5:$A$32=tblBoardExport3[[#This Row],[DepartmentID]])*(WeeklyCumulative!$B$5:$F$32)),0)</f>
        <v>209</v>
      </c>
      <c r="D4">
        <f>WeeklyCumulative!$B$2</f>
        <v>7</v>
      </c>
      <c r="E4">
        <f>WeeklyCumulative!$D$2</f>
        <v>2026</v>
      </c>
      <c r="F4" cm="1">
        <f t="array" aca="1" ref="F4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4" cm="1">
        <f t="array" aca="1" ref="G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4" s="13" cm="1">
        <f t="array" ref="H4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104.5</v>
      </c>
      <c r="I4" s="13" cm="1">
        <f t="array" aca="1" ref="I4" ca="1">IFERROR(SUMPRODUCT((WeeklyCumulative!$A$5:$A$32=tblBoardExport3[[#This Row],[DepartmentID]])*(WeeklyCumulative!$B$5:$B$32)),0)</f>
        <v>104</v>
      </c>
      <c r="J4" s="13" cm="1">
        <f t="array" aca="1" ref="J4" ca="1">IFERROR(SUMPRODUCT((WeeklyCumulative!$A$5:$A$32=tblBoardExport3[[#This Row],[DepartmentID]])*(WeeklyCumulative!$C$5:$C$32)),0)</f>
        <v>105</v>
      </c>
      <c r="K4" s="13" cm="1">
        <f t="array" aca="1" ref="K4" ca="1">IFERROR(SUMPRODUCT((WeeklyCumulative!$A$5:$A$32=tblBoardExport3[[#This Row],[DepartmentID]])*(WeeklyCumulative!$D$5:$D$32)),0)</f>
        <v>0</v>
      </c>
      <c r="L4" s="13" cm="1">
        <f t="array" aca="1" ref="L4" ca="1">IFERROR(SUMPRODUCT((WeeklyCumulative!$A$5:$A$32=tblBoardExport3[[#This Row],[DepartmentID]])*(WeeklyCumulative!$E$5:$E$32)),0)</f>
        <v>0</v>
      </c>
      <c r="M4" s="13" cm="1">
        <f t="array" aca="1" ref="M4" ca="1">IFERROR(SUMPRODUCT((WeeklyCumulative!$A$5:$A$32=tblBoardExport3[[#This Row],[DepartmentID]])*(WeeklyCumulative!$F$5:$F$32)),0)</f>
        <v>0</v>
      </c>
      <c r="N4" s="13">
        <f ca="1">_xlfn.RANK.AVG(tblBoardExport3[[#This Row],[Game Score]],tblBoardExport3[Game Score],0)</f>
        <v>3</v>
      </c>
    </row>
    <row r="5" spans="1:14" x14ac:dyDescent="0.25">
      <c r="A5" t="s">
        <v>252</v>
      </c>
      <c r="B5" s="99">
        <f ca="1">IFERROR(VLOOKUP(tblBoardExport3[[#This Row],[DepartmentID]], WeeklyCumulative!$A$5:$G$32, 7, FALSE), "")</f>
        <v>41.679999999999993</v>
      </c>
      <c r="C5" cm="1">
        <f t="array" aca="1" ref="C5" ca="1">IFERROR(SUMPRODUCT((WeeklyCumulative!$A$5:$A$32=tblBoardExport3[[#This Row],[DepartmentID]])*(WeeklyCumulative!$B$5:$F$32)),0)</f>
        <v>208.39999999999998</v>
      </c>
      <c r="D5">
        <f>WeeklyCumulative!$B$2</f>
        <v>7</v>
      </c>
      <c r="E5">
        <f>WeeklyCumulative!$D$2</f>
        <v>2026</v>
      </c>
      <c r="F5" cm="1">
        <f t="array" aca="1" ref="F5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5" cm="1">
        <f t="array" aca="1" ref="G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5" s="13" cm="1">
        <f t="array" ref="H5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104.2</v>
      </c>
      <c r="I5" s="13" cm="1">
        <f t="array" aca="1" ref="I5" ca="1">IFERROR(SUMPRODUCT((WeeklyCumulative!$A$5:$A$32=tblBoardExport3[[#This Row],[DepartmentID]])*(WeeklyCumulative!$B$5:$B$32)),0)</f>
        <v>104.8</v>
      </c>
      <c r="J5" s="13" cm="1">
        <f t="array" aca="1" ref="J5" ca="1">IFERROR(SUMPRODUCT((WeeklyCumulative!$A$5:$A$32=tblBoardExport3[[#This Row],[DepartmentID]])*(WeeklyCumulative!$C$5:$C$32)),0)</f>
        <v>103.6</v>
      </c>
      <c r="K5" s="13" cm="1">
        <f t="array" aca="1" ref="K5" ca="1">IFERROR(SUMPRODUCT((WeeklyCumulative!$A$5:$A$32=tblBoardExport3[[#This Row],[DepartmentID]])*(WeeklyCumulative!$D$5:$D$32)),0)</f>
        <v>0</v>
      </c>
      <c r="L5" s="13" cm="1">
        <f t="array" aca="1" ref="L5" ca="1">IFERROR(SUMPRODUCT((WeeklyCumulative!$A$5:$A$32=tblBoardExport3[[#This Row],[DepartmentID]])*(WeeklyCumulative!$E$5:$E$32)),0)</f>
        <v>0</v>
      </c>
      <c r="M5" s="13" cm="1">
        <f t="array" aca="1" ref="M5" ca="1">IFERROR(SUMPRODUCT((WeeklyCumulative!$A$5:$A$32=tblBoardExport3[[#This Row],[DepartmentID]])*(WeeklyCumulative!$F$5:$F$32)),0)</f>
        <v>0</v>
      </c>
      <c r="N5" s="13">
        <f ca="1">_xlfn.RANK.AVG(tblBoardExport3[[#This Row],[Game Score]],tblBoardExport3[Game Score],0)</f>
        <v>4</v>
      </c>
    </row>
    <row r="6" spans="1:14" x14ac:dyDescent="0.25">
      <c r="A6" t="s">
        <v>260</v>
      </c>
      <c r="B6" s="99">
        <f ca="1">IFERROR(VLOOKUP(tblBoardExport3[[#This Row],[DepartmentID]], WeeklyCumulative!$A$5:$G$32, 7, FALSE), "")</f>
        <v>41.2</v>
      </c>
      <c r="C6" cm="1">
        <f t="array" aca="1" ref="C6" ca="1">IFERROR(SUMPRODUCT((WeeklyCumulative!$A$5:$A$32=tblBoardExport3[[#This Row],[DepartmentID]])*(WeeklyCumulative!$B$5:$F$32)),0)</f>
        <v>206</v>
      </c>
      <c r="D6">
        <f>WeeklyCumulative!$B$2</f>
        <v>7</v>
      </c>
      <c r="E6">
        <f>WeeklyCumulative!$D$2</f>
        <v>2026</v>
      </c>
      <c r="F6" cm="1">
        <f t="array" aca="1" ref="F6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6" cm="1">
        <f t="array" aca="1" ref="G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6" s="13" cm="1">
        <f t="array" ref="H6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103</v>
      </c>
      <c r="I6" s="13" cm="1">
        <f t="array" aca="1" ref="I6" ca="1">IFERROR(SUMPRODUCT((WeeklyCumulative!$A$5:$A$32=tblBoardExport3[[#This Row],[DepartmentID]])*(WeeklyCumulative!$B$5:$B$32)),0)</f>
        <v>103</v>
      </c>
      <c r="J6" s="13" cm="1">
        <f t="array" aca="1" ref="J6" ca="1">IFERROR(SUMPRODUCT((WeeklyCumulative!$A$5:$A$32=tblBoardExport3[[#This Row],[DepartmentID]])*(WeeklyCumulative!$C$5:$C$32)),0)</f>
        <v>103</v>
      </c>
      <c r="K6" s="13" cm="1">
        <f t="array" aca="1" ref="K6" ca="1">IFERROR(SUMPRODUCT((WeeklyCumulative!$A$5:$A$32=tblBoardExport3[[#This Row],[DepartmentID]])*(WeeklyCumulative!$D$5:$D$32)),0)</f>
        <v>0</v>
      </c>
      <c r="L6" s="13" cm="1">
        <f t="array" aca="1" ref="L6" ca="1">IFERROR(SUMPRODUCT((WeeklyCumulative!$A$5:$A$32=tblBoardExport3[[#This Row],[DepartmentID]])*(WeeklyCumulative!$E$5:$E$32)),0)</f>
        <v>0</v>
      </c>
      <c r="M6" s="13" cm="1">
        <f t="array" aca="1" ref="M6" ca="1">IFERROR(SUMPRODUCT((WeeklyCumulative!$A$5:$A$32=tblBoardExport3[[#This Row],[DepartmentID]])*(WeeklyCumulative!$F$5:$F$32)),0)</f>
        <v>0</v>
      </c>
      <c r="N6" s="13">
        <f ca="1">_xlfn.RANK.AVG(tblBoardExport3[[#This Row],[Game Score]],tblBoardExport3[Game Score],0)</f>
        <v>5</v>
      </c>
    </row>
    <row r="7" spans="1:14" x14ac:dyDescent="0.25">
      <c r="A7" t="s">
        <v>267</v>
      </c>
      <c r="B7" s="99">
        <f ca="1">IFERROR(VLOOKUP(tblBoardExport3[[#This Row],[DepartmentID]], WeeklyCumulative!$A$5:$G$32, 7, FALSE), "")</f>
        <v>41</v>
      </c>
      <c r="C7" cm="1">
        <f t="array" aca="1" ref="C7" ca="1">IFERROR(SUMPRODUCT((WeeklyCumulative!$A$5:$A$32=tblBoardExport3[[#This Row],[DepartmentID]])*(WeeklyCumulative!$B$5:$F$32)),0)</f>
        <v>205</v>
      </c>
      <c r="D7">
        <f>WeeklyCumulative!$B$2</f>
        <v>7</v>
      </c>
      <c r="E7">
        <f>WeeklyCumulative!$D$2</f>
        <v>2026</v>
      </c>
      <c r="F7" cm="1">
        <f t="array" aca="1" ref="F7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7" cm="1">
        <f t="array" aca="1" ref="G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7" s="13" cm="1">
        <f t="array" ref="H7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102.5</v>
      </c>
      <c r="I7" s="13" cm="1">
        <f t="array" aca="1" ref="I7" ca="1">IFERROR(SUMPRODUCT((WeeklyCumulative!$A$5:$A$32=tblBoardExport3[[#This Row],[DepartmentID]])*(WeeklyCumulative!$B$5:$B$32)),0)</f>
        <v>105</v>
      </c>
      <c r="J7" s="13" cm="1">
        <f t="array" aca="1" ref="J7" ca="1">IFERROR(SUMPRODUCT((WeeklyCumulative!$A$5:$A$32=tblBoardExport3[[#This Row],[DepartmentID]])*(WeeklyCumulative!$C$5:$C$32)),0)</f>
        <v>100</v>
      </c>
      <c r="K7" s="13" cm="1">
        <f t="array" aca="1" ref="K7" ca="1">IFERROR(SUMPRODUCT((WeeklyCumulative!$A$5:$A$32=tblBoardExport3[[#This Row],[DepartmentID]])*(WeeklyCumulative!$D$5:$D$32)),0)</f>
        <v>0</v>
      </c>
      <c r="L7" s="13" cm="1">
        <f t="array" aca="1" ref="L7" ca="1">IFERROR(SUMPRODUCT((WeeklyCumulative!$A$5:$A$32=tblBoardExport3[[#This Row],[DepartmentID]])*(WeeklyCumulative!$E$5:$E$32)),0)</f>
        <v>0</v>
      </c>
      <c r="M7" s="13" cm="1">
        <f t="array" aca="1" ref="M7" ca="1">IFERROR(SUMPRODUCT((WeeklyCumulative!$A$5:$A$32=tblBoardExport3[[#This Row],[DepartmentID]])*(WeeklyCumulative!$F$5:$F$32)),0)</f>
        <v>0</v>
      </c>
      <c r="N7" s="13">
        <f ca="1">_xlfn.RANK.AVG(tblBoardExport3[[#This Row],[Game Score]],tblBoardExport3[Game Score],0)</f>
        <v>6</v>
      </c>
    </row>
    <row r="8" spans="1:14" x14ac:dyDescent="0.25">
      <c r="A8" t="s">
        <v>272</v>
      </c>
      <c r="B8" s="99">
        <f ca="1">IFERROR(VLOOKUP(tblBoardExport3[[#This Row],[DepartmentID]], WeeklyCumulative!$A$5:$G$32, 7, FALSE), "")</f>
        <v>40.6</v>
      </c>
      <c r="C8" cm="1">
        <f t="array" aca="1" ref="C8" ca="1">IFERROR(SUMPRODUCT((WeeklyCumulative!$A$5:$A$32=tblBoardExport3[[#This Row],[DepartmentID]])*(WeeklyCumulative!$B$5:$F$32)),0)</f>
        <v>203</v>
      </c>
      <c r="D8">
        <f>WeeklyCumulative!$B$2</f>
        <v>7</v>
      </c>
      <c r="E8">
        <f>WeeklyCumulative!$D$2</f>
        <v>2026</v>
      </c>
      <c r="F8" cm="1">
        <f t="array" aca="1" ref="F8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8" cm="1">
        <f t="array" aca="1" ref="G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8" s="13" cm="1">
        <f t="array" ref="H8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101.5</v>
      </c>
      <c r="I8" s="13" cm="1">
        <f t="array" aca="1" ref="I8" ca="1">IFERROR(SUMPRODUCT((WeeklyCumulative!$A$5:$A$32=tblBoardExport3[[#This Row],[DepartmentID]])*(WeeklyCumulative!$B$5:$B$32)),0)</f>
        <v>103</v>
      </c>
      <c r="J8" s="13" cm="1">
        <f t="array" aca="1" ref="J8" ca="1">IFERROR(SUMPRODUCT((WeeklyCumulative!$A$5:$A$32=tblBoardExport3[[#This Row],[DepartmentID]])*(WeeklyCumulative!$C$5:$C$32)),0)</f>
        <v>100</v>
      </c>
      <c r="K8" s="13" cm="1">
        <f t="array" aca="1" ref="K8" ca="1">IFERROR(SUMPRODUCT((WeeklyCumulative!$A$5:$A$32=tblBoardExport3[[#This Row],[DepartmentID]])*(WeeklyCumulative!$D$5:$D$32)),0)</f>
        <v>0</v>
      </c>
      <c r="L8" s="13" cm="1">
        <f t="array" aca="1" ref="L8" ca="1">IFERROR(SUMPRODUCT((WeeklyCumulative!$A$5:$A$32=tblBoardExport3[[#This Row],[DepartmentID]])*(WeeklyCumulative!$E$5:$E$32)),0)</f>
        <v>0</v>
      </c>
      <c r="M8" s="13" cm="1">
        <f t="array" aca="1" ref="M8" ca="1">IFERROR(SUMPRODUCT((WeeklyCumulative!$A$5:$A$32=tblBoardExport3[[#This Row],[DepartmentID]])*(WeeklyCumulative!$F$5:$F$32)),0)</f>
        <v>0</v>
      </c>
      <c r="N8" s="13">
        <f ca="1">_xlfn.RANK.AVG(tblBoardExport3[[#This Row],[Game Score]],tblBoardExport3[Game Score],0)</f>
        <v>7</v>
      </c>
    </row>
    <row r="9" spans="1:14" x14ac:dyDescent="0.25">
      <c r="A9" t="s">
        <v>270</v>
      </c>
      <c r="B9" s="99">
        <f ca="1">IFERROR(VLOOKUP(tblBoardExport3[[#This Row],[DepartmentID]], WeeklyCumulative!$A$5:$G$32, 7, FALSE), "")</f>
        <v>40</v>
      </c>
      <c r="C9" cm="1">
        <f t="array" aca="1" ref="C9" ca="1">IFERROR(SUMPRODUCT((WeeklyCumulative!$A$5:$A$32=tblBoardExport3[[#This Row],[DepartmentID]])*(WeeklyCumulative!$B$5:$F$32)),0)</f>
        <v>200</v>
      </c>
      <c r="D9">
        <f>WeeklyCumulative!$B$2</f>
        <v>7</v>
      </c>
      <c r="E9">
        <f>WeeklyCumulative!$D$2</f>
        <v>2026</v>
      </c>
      <c r="F9" cm="1">
        <f t="array" aca="1" ref="F9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9" cm="1">
        <f t="array" aca="1" ref="G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9" s="13" cm="1">
        <f t="array" ref="H9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100</v>
      </c>
      <c r="I9" s="13" cm="1">
        <f t="array" aca="1" ref="I9" ca="1">IFERROR(SUMPRODUCT((WeeklyCumulative!$A$5:$A$32=tblBoardExport3[[#This Row],[DepartmentID]])*(WeeklyCumulative!$B$5:$B$32)),0)</f>
        <v>100</v>
      </c>
      <c r="J9" s="13" cm="1">
        <f t="array" aca="1" ref="J9" ca="1">IFERROR(SUMPRODUCT((WeeklyCumulative!$A$5:$A$32=tblBoardExport3[[#This Row],[DepartmentID]])*(WeeklyCumulative!$C$5:$C$32)),0)</f>
        <v>100</v>
      </c>
      <c r="K9" s="13" cm="1">
        <f t="array" aca="1" ref="K9" ca="1">IFERROR(SUMPRODUCT((WeeklyCumulative!$A$5:$A$32=tblBoardExport3[[#This Row],[DepartmentID]])*(WeeklyCumulative!$D$5:$D$32)),0)</f>
        <v>0</v>
      </c>
      <c r="L9" s="13" cm="1">
        <f t="array" aca="1" ref="L9" ca="1">IFERROR(SUMPRODUCT((WeeklyCumulative!$A$5:$A$32=tblBoardExport3[[#This Row],[DepartmentID]])*(WeeklyCumulative!$E$5:$E$32)),0)</f>
        <v>0</v>
      </c>
      <c r="M9" s="13" cm="1">
        <f t="array" aca="1" ref="M9" ca="1">IFERROR(SUMPRODUCT((WeeklyCumulative!$A$5:$A$32=tblBoardExport3[[#This Row],[DepartmentID]])*(WeeklyCumulative!$F$5:$F$32)),0)</f>
        <v>0</v>
      </c>
      <c r="N9" s="13">
        <f ca="1">_xlfn.RANK.AVG(tblBoardExport3[[#This Row],[Game Score]],tblBoardExport3[Game Score],0)</f>
        <v>8</v>
      </c>
    </row>
    <row r="10" spans="1:14" x14ac:dyDescent="0.25">
      <c r="A10" t="s">
        <v>253</v>
      </c>
      <c r="B10" s="99">
        <f ca="1">IFERROR(VLOOKUP(tblBoardExport3[[#This Row],[DepartmentID]], WeeklyCumulative!$A$5:$G$32, 7, FALSE), "")</f>
        <v>39.64</v>
      </c>
      <c r="C10" cm="1">
        <f t="array" aca="1" ref="C10" ca="1">IFERROR(SUMPRODUCT((WeeklyCumulative!$A$5:$A$32=tblBoardExport3[[#This Row],[DepartmentID]])*(WeeklyCumulative!$B$5:$F$32)),0)</f>
        <v>198.2</v>
      </c>
      <c r="D10">
        <f>WeeklyCumulative!$B$2</f>
        <v>7</v>
      </c>
      <c r="E10">
        <f>WeeklyCumulative!$D$2</f>
        <v>2026</v>
      </c>
      <c r="F10" cm="1">
        <f t="array" aca="1" ref="F10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0" cm="1">
        <f t="array" aca="1" ref="G10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0" s="13" cm="1">
        <f t="array" ref="H10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99.1</v>
      </c>
      <c r="I10" s="13" cm="1">
        <f t="array" aca="1" ref="I10" ca="1">IFERROR(SUMPRODUCT((WeeklyCumulative!$A$5:$A$32=tblBoardExport3[[#This Row],[DepartmentID]])*(WeeklyCumulative!$B$5:$B$32)),0)</f>
        <v>94.6</v>
      </c>
      <c r="J10" s="13" cm="1">
        <f t="array" aca="1" ref="J10" ca="1">IFERROR(SUMPRODUCT((WeeklyCumulative!$A$5:$A$32=tblBoardExport3[[#This Row],[DepartmentID]])*(WeeklyCumulative!$C$5:$C$32)),0)</f>
        <v>103.6</v>
      </c>
      <c r="K10" s="13" cm="1">
        <f t="array" aca="1" ref="K10" ca="1">IFERROR(SUMPRODUCT((WeeklyCumulative!$A$5:$A$32=tblBoardExport3[[#This Row],[DepartmentID]])*(WeeklyCumulative!$D$5:$D$32)),0)</f>
        <v>0</v>
      </c>
      <c r="L10" s="13" cm="1">
        <f t="array" aca="1" ref="L10" ca="1">IFERROR(SUMPRODUCT((WeeklyCumulative!$A$5:$A$32=tblBoardExport3[[#This Row],[DepartmentID]])*(WeeklyCumulative!$E$5:$E$32)),0)</f>
        <v>0</v>
      </c>
      <c r="M10" s="13" cm="1">
        <f t="array" aca="1" ref="M10" ca="1">IFERROR(SUMPRODUCT((WeeklyCumulative!$A$5:$A$32=tblBoardExport3[[#This Row],[DepartmentID]])*(WeeklyCumulative!$F$5:$F$32)),0)</f>
        <v>0</v>
      </c>
      <c r="N10" s="13">
        <f ca="1">_xlfn.RANK.AVG(tblBoardExport3[[#This Row],[Game Score]],tblBoardExport3[Game Score],0)</f>
        <v>9</v>
      </c>
    </row>
    <row r="11" spans="1:14" x14ac:dyDescent="0.25">
      <c r="A11" t="s">
        <v>257</v>
      </c>
      <c r="B11" s="99">
        <f ca="1">IFERROR(VLOOKUP(tblBoardExport3[[#This Row],[DepartmentID]], WeeklyCumulative!$A$5:$G$32, 7, FALSE), "")</f>
        <v>37.200000000000003</v>
      </c>
      <c r="C11" cm="1">
        <f t="array" aca="1" ref="C11" ca="1">IFERROR(SUMPRODUCT((WeeklyCumulative!$A$5:$A$32=tblBoardExport3[[#This Row],[DepartmentID]])*(WeeklyCumulative!$B$5:$F$32)),0)</f>
        <v>186</v>
      </c>
      <c r="D11">
        <f>WeeklyCumulative!$B$2</f>
        <v>7</v>
      </c>
      <c r="E11">
        <f>WeeklyCumulative!$D$2</f>
        <v>2026</v>
      </c>
      <c r="F11" cm="1">
        <f t="array" aca="1" ref="F11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1" cm="1">
        <f t="array" aca="1" ref="G11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1" s="13" cm="1">
        <f t="array" ref="H11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11" s="13" cm="1">
        <f t="array" aca="1" ref="I11" ca="1">IFERROR(SUMPRODUCT((WeeklyCumulative!$A$5:$A$32=tblBoardExport3[[#This Row],[DepartmentID]])*(WeeklyCumulative!$B$5:$B$32)),0)</f>
        <v>83</v>
      </c>
      <c r="J11" s="13" cm="1">
        <f t="array" aca="1" ref="J11" ca="1">IFERROR(SUMPRODUCT((WeeklyCumulative!$A$5:$A$32=tblBoardExport3[[#This Row],[DepartmentID]])*(WeeklyCumulative!$C$5:$C$32)),0)</f>
        <v>103</v>
      </c>
      <c r="K11" s="13" cm="1">
        <f t="array" aca="1" ref="K11" ca="1">IFERROR(SUMPRODUCT((WeeklyCumulative!$A$5:$A$32=tblBoardExport3[[#This Row],[DepartmentID]])*(WeeklyCumulative!$D$5:$D$32)),0)</f>
        <v>0</v>
      </c>
      <c r="L11" s="13" cm="1">
        <f t="array" aca="1" ref="L11" ca="1">IFERROR(SUMPRODUCT((WeeklyCumulative!$A$5:$A$32=tblBoardExport3[[#This Row],[DepartmentID]])*(WeeklyCumulative!$E$5:$E$32)),0)</f>
        <v>0</v>
      </c>
      <c r="M11" s="13" cm="1">
        <f t="array" aca="1" ref="M11" ca="1">IFERROR(SUMPRODUCT((WeeklyCumulative!$A$5:$A$32=tblBoardExport3[[#This Row],[DepartmentID]])*(WeeklyCumulative!$F$5:$F$32)),0)</f>
        <v>0</v>
      </c>
      <c r="N11" s="13">
        <f ca="1">_xlfn.RANK.AVG(tblBoardExport3[[#This Row],[Game Score]],tblBoardExport3[Game Score],0)</f>
        <v>11</v>
      </c>
    </row>
    <row r="12" spans="1:14" x14ac:dyDescent="0.25">
      <c r="A12" t="s">
        <v>261</v>
      </c>
      <c r="B12" s="99">
        <f ca="1">IFERROR(VLOOKUP(tblBoardExport3[[#This Row],[DepartmentID]], WeeklyCumulative!$A$5:$G$32, 7, FALSE), "")</f>
        <v>37.200000000000003</v>
      </c>
      <c r="C12" cm="1">
        <f t="array" aca="1" ref="C12" ca="1">IFERROR(SUMPRODUCT((WeeklyCumulative!$A$5:$A$32=tblBoardExport3[[#This Row],[DepartmentID]])*(WeeklyCumulative!$B$5:$F$32)),0)</f>
        <v>186</v>
      </c>
      <c r="D12">
        <f>WeeklyCumulative!$B$2</f>
        <v>7</v>
      </c>
      <c r="E12">
        <f>WeeklyCumulative!$D$2</f>
        <v>2026</v>
      </c>
      <c r="F12" cm="1">
        <f t="array" aca="1" ref="F12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2" cm="1">
        <f t="array" aca="1" ref="G1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2" s="13" cm="1">
        <f t="array" ref="H12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12" s="13" cm="1">
        <f t="array" aca="1" ref="I12" ca="1">IFERROR(SUMPRODUCT((WeeklyCumulative!$A$5:$A$32=tblBoardExport3[[#This Row],[DepartmentID]])*(WeeklyCumulative!$B$5:$B$32)),0)</f>
        <v>83</v>
      </c>
      <c r="J12" s="13" cm="1">
        <f t="array" aca="1" ref="J12" ca="1">IFERROR(SUMPRODUCT((WeeklyCumulative!$A$5:$A$32=tblBoardExport3[[#This Row],[DepartmentID]])*(WeeklyCumulative!$C$5:$C$32)),0)</f>
        <v>103</v>
      </c>
      <c r="K12" s="13" cm="1">
        <f t="array" aca="1" ref="K12" ca="1">IFERROR(SUMPRODUCT((WeeklyCumulative!$A$5:$A$32=tblBoardExport3[[#This Row],[DepartmentID]])*(WeeklyCumulative!$D$5:$D$32)),0)</f>
        <v>0</v>
      </c>
      <c r="L12" s="13" cm="1">
        <f t="array" aca="1" ref="L12" ca="1">IFERROR(SUMPRODUCT((WeeklyCumulative!$A$5:$A$32=tblBoardExport3[[#This Row],[DepartmentID]])*(WeeklyCumulative!$E$5:$E$32)),0)</f>
        <v>0</v>
      </c>
      <c r="M12" s="13" cm="1">
        <f t="array" aca="1" ref="M12" ca="1">IFERROR(SUMPRODUCT((WeeklyCumulative!$A$5:$A$32=tblBoardExport3[[#This Row],[DepartmentID]])*(WeeklyCumulative!$F$5:$F$32)),0)</f>
        <v>0</v>
      </c>
      <c r="N12" s="13">
        <f ca="1">_xlfn.RANK.AVG(tblBoardExport3[[#This Row],[Game Score]],tblBoardExport3[Game Score],0)</f>
        <v>11</v>
      </c>
    </row>
    <row r="13" spans="1:14" x14ac:dyDescent="0.25">
      <c r="A13" t="s">
        <v>271</v>
      </c>
      <c r="B13" s="99">
        <f ca="1">IFERROR(VLOOKUP(tblBoardExport3[[#This Row],[DepartmentID]], WeeklyCumulative!$A$5:$G$32, 7, FALSE), "")</f>
        <v>37.200000000000003</v>
      </c>
      <c r="C13" cm="1">
        <f t="array" aca="1" ref="C13" ca="1">IFERROR(SUMPRODUCT((WeeklyCumulative!$A$5:$A$32=tblBoardExport3[[#This Row],[DepartmentID]])*(WeeklyCumulative!$B$5:$F$32)),0)</f>
        <v>186</v>
      </c>
      <c r="D13">
        <f>WeeklyCumulative!$B$2</f>
        <v>7</v>
      </c>
      <c r="E13">
        <f>WeeklyCumulative!$D$2</f>
        <v>2026</v>
      </c>
      <c r="F13" cm="1">
        <f t="array" aca="1" ref="F13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3" cm="1">
        <f t="array" aca="1" ref="G1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3" s="13" cm="1">
        <f t="array" ref="H13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93</v>
      </c>
      <c r="I13" s="13" cm="1">
        <f t="array" aca="1" ref="I13" ca="1">IFERROR(SUMPRODUCT((WeeklyCumulative!$A$5:$A$32=tblBoardExport3[[#This Row],[DepartmentID]])*(WeeklyCumulative!$B$5:$B$32)),0)</f>
        <v>83</v>
      </c>
      <c r="J13" s="13" cm="1">
        <f t="array" aca="1" ref="J13" ca="1">IFERROR(SUMPRODUCT((WeeklyCumulative!$A$5:$A$32=tblBoardExport3[[#This Row],[DepartmentID]])*(WeeklyCumulative!$C$5:$C$32)),0)</f>
        <v>103</v>
      </c>
      <c r="K13" s="13" cm="1">
        <f t="array" aca="1" ref="K13" ca="1">IFERROR(SUMPRODUCT((WeeklyCumulative!$A$5:$A$32=tblBoardExport3[[#This Row],[DepartmentID]])*(WeeklyCumulative!$D$5:$D$32)),0)</f>
        <v>0</v>
      </c>
      <c r="L13" s="13" cm="1">
        <f t="array" aca="1" ref="L13" ca="1">IFERROR(SUMPRODUCT((WeeklyCumulative!$A$5:$A$32=tblBoardExport3[[#This Row],[DepartmentID]])*(WeeklyCumulative!$E$5:$E$32)),0)</f>
        <v>0</v>
      </c>
      <c r="M13" s="13" cm="1">
        <f t="array" aca="1" ref="M13" ca="1">IFERROR(SUMPRODUCT((WeeklyCumulative!$A$5:$A$32=tblBoardExport3[[#This Row],[DepartmentID]])*(WeeklyCumulative!$F$5:$F$32)),0)</f>
        <v>0</v>
      </c>
      <c r="N13" s="13">
        <f ca="1">_xlfn.RANK.AVG(tblBoardExport3[[#This Row],[Game Score]],tblBoardExport3[Game Score],0)</f>
        <v>11</v>
      </c>
    </row>
    <row r="14" spans="1:14" x14ac:dyDescent="0.25">
      <c r="A14" t="s">
        <v>256</v>
      </c>
      <c r="B14" s="99">
        <f ca="1">IFERROR(VLOOKUP(tblBoardExport3[[#This Row],[DepartmentID]], WeeklyCumulative!$A$5:$G$32, 7, FALSE), "")</f>
        <v>36.333333333333329</v>
      </c>
      <c r="C14" cm="1">
        <f t="array" aca="1" ref="C14" ca="1">IFERROR(SUMPRODUCT((WeeklyCumulative!$A$5:$A$32=tblBoardExport3[[#This Row],[DepartmentID]])*(WeeklyCumulative!$B$5:$F$32)),0)</f>
        <v>181.66666666666666</v>
      </c>
      <c r="D14">
        <f>WeeklyCumulative!$B$2</f>
        <v>7</v>
      </c>
      <c r="E14">
        <f>WeeklyCumulative!$D$2</f>
        <v>2026</v>
      </c>
      <c r="F14" cm="1">
        <f t="array" aca="1" ref="F14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4" cm="1">
        <f t="array" aca="1" ref="G1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4" s="13" cm="1">
        <f t="array" ref="H14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90.8</v>
      </c>
      <c r="I14" s="13" cm="1">
        <f t="array" aca="1" ref="I14" ca="1">IFERROR(SUMPRODUCT((WeeklyCumulative!$A$5:$A$32=tblBoardExport3[[#This Row],[DepartmentID]])*(WeeklyCumulative!$B$5:$B$32)),0)</f>
        <v>106.66666666666666</v>
      </c>
      <c r="J14" s="13" cm="1">
        <f t="array" aca="1" ref="J14" ca="1">IFERROR(SUMPRODUCT((WeeklyCumulative!$A$5:$A$32=tblBoardExport3[[#This Row],[DepartmentID]])*(WeeklyCumulative!$C$5:$C$32)),0)</f>
        <v>75</v>
      </c>
      <c r="K14" s="13" cm="1">
        <f t="array" aca="1" ref="K14" ca="1">IFERROR(SUMPRODUCT((WeeklyCumulative!$A$5:$A$32=tblBoardExport3[[#This Row],[DepartmentID]])*(WeeklyCumulative!$D$5:$D$32)),0)</f>
        <v>0</v>
      </c>
      <c r="L14" s="13" cm="1">
        <f t="array" aca="1" ref="L14" ca="1">IFERROR(SUMPRODUCT((WeeklyCumulative!$A$5:$A$32=tblBoardExport3[[#This Row],[DepartmentID]])*(WeeklyCumulative!$E$5:$E$32)),0)</f>
        <v>0</v>
      </c>
      <c r="M14" s="13" cm="1">
        <f t="array" aca="1" ref="M14" ca="1">IFERROR(SUMPRODUCT((WeeklyCumulative!$A$5:$A$32=tblBoardExport3[[#This Row],[DepartmentID]])*(WeeklyCumulative!$F$5:$F$32)),0)</f>
        <v>0</v>
      </c>
      <c r="N14" s="13">
        <f ca="1">_xlfn.RANK.AVG(tblBoardExport3[[#This Row],[Game Score]],tblBoardExport3[Game Score],0)</f>
        <v>13</v>
      </c>
    </row>
    <row r="15" spans="1:14" x14ac:dyDescent="0.25">
      <c r="A15" t="s">
        <v>259</v>
      </c>
      <c r="B15" s="99">
        <f ca="1">IFERROR(VLOOKUP(tblBoardExport3[[#This Row],[DepartmentID]], WeeklyCumulative!$A$5:$G$32, 7, FALSE), "")</f>
        <v>36</v>
      </c>
      <c r="C15" cm="1">
        <f t="array" aca="1" ref="C15" ca="1">IFERROR(SUMPRODUCT((WeeklyCumulative!$A$5:$A$32=tblBoardExport3[[#This Row],[DepartmentID]])*(WeeklyCumulative!$B$5:$F$32)),0)</f>
        <v>180</v>
      </c>
      <c r="D15">
        <f>WeeklyCumulative!$B$2</f>
        <v>7</v>
      </c>
      <c r="E15">
        <f>WeeklyCumulative!$D$2</f>
        <v>2026</v>
      </c>
      <c r="F15" cm="1">
        <f t="array" aca="1" ref="F15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5" cm="1">
        <f t="array" aca="1" ref="G1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5" s="13" cm="1">
        <f t="array" ref="H15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90</v>
      </c>
      <c r="I15" s="13" cm="1">
        <f t="array" aca="1" ref="I15" ca="1">IFERROR(SUMPRODUCT((WeeklyCumulative!$A$5:$A$32=tblBoardExport3[[#This Row],[DepartmentID]])*(WeeklyCumulative!$B$5:$B$32)),0)</f>
        <v>100</v>
      </c>
      <c r="J15" s="13" cm="1">
        <f t="array" aca="1" ref="J15" ca="1">IFERROR(SUMPRODUCT((WeeklyCumulative!$A$5:$A$32=tblBoardExport3[[#This Row],[DepartmentID]])*(WeeklyCumulative!$C$5:$C$32)),0)</f>
        <v>80</v>
      </c>
      <c r="K15" s="13" cm="1">
        <f t="array" aca="1" ref="K15" ca="1">IFERROR(SUMPRODUCT((WeeklyCumulative!$A$5:$A$32=tblBoardExport3[[#This Row],[DepartmentID]])*(WeeklyCumulative!$D$5:$D$32)),0)</f>
        <v>0</v>
      </c>
      <c r="L15" s="13" cm="1">
        <f t="array" aca="1" ref="L15" ca="1">IFERROR(SUMPRODUCT((WeeklyCumulative!$A$5:$A$32=tblBoardExport3[[#This Row],[DepartmentID]])*(WeeklyCumulative!$E$5:$E$32)),0)</f>
        <v>0</v>
      </c>
      <c r="M15" s="13" cm="1">
        <f t="array" aca="1" ref="M15" ca="1">IFERROR(SUMPRODUCT((WeeklyCumulative!$A$5:$A$32=tblBoardExport3[[#This Row],[DepartmentID]])*(WeeklyCumulative!$F$5:$F$32)),0)</f>
        <v>0</v>
      </c>
      <c r="N15" s="13">
        <f ca="1">_xlfn.RANK.AVG(tblBoardExport3[[#This Row],[Game Score]],tblBoardExport3[Game Score],0)</f>
        <v>14</v>
      </c>
    </row>
    <row r="16" spans="1:14" x14ac:dyDescent="0.25">
      <c r="A16" t="s">
        <v>258</v>
      </c>
      <c r="B16" s="99">
        <f ca="1">IFERROR(VLOOKUP(tblBoardExport3[[#This Row],[DepartmentID]], WeeklyCumulative!$A$5:$G$32, 7, FALSE), "")</f>
        <v>35.200000000000003</v>
      </c>
      <c r="C16" cm="1">
        <f t="array" aca="1" ref="C16" ca="1">IFERROR(SUMPRODUCT((WeeklyCumulative!$A$5:$A$32=tblBoardExport3[[#This Row],[DepartmentID]])*(WeeklyCumulative!$B$5:$F$32)),0)</f>
        <v>176</v>
      </c>
      <c r="D16">
        <f>WeeklyCumulative!$B$2</f>
        <v>7</v>
      </c>
      <c r="E16">
        <f>WeeklyCumulative!$D$2</f>
        <v>2026</v>
      </c>
      <c r="F16" cm="1">
        <f t="array" aca="1" ref="F16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6" cm="1">
        <f t="array" aca="1" ref="G1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6" s="13" cm="1">
        <f t="array" ref="H16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88</v>
      </c>
      <c r="I16" s="13" cm="1">
        <f t="array" aca="1" ref="I16" ca="1">IFERROR(SUMPRODUCT((WeeklyCumulative!$A$5:$A$32=tblBoardExport3[[#This Row],[DepartmentID]])*(WeeklyCumulative!$B$5:$B$32)),0)</f>
        <v>103</v>
      </c>
      <c r="J16" s="13" cm="1">
        <f t="array" aca="1" ref="J16" ca="1">IFERROR(SUMPRODUCT((WeeklyCumulative!$A$5:$A$32=tblBoardExport3[[#This Row],[DepartmentID]])*(WeeklyCumulative!$C$5:$C$32)),0)</f>
        <v>73</v>
      </c>
      <c r="K16" s="13" cm="1">
        <f t="array" aca="1" ref="K16" ca="1">IFERROR(SUMPRODUCT((WeeklyCumulative!$A$5:$A$32=tblBoardExport3[[#This Row],[DepartmentID]])*(WeeklyCumulative!$D$5:$D$32)),0)</f>
        <v>0</v>
      </c>
      <c r="L16" s="13" cm="1">
        <f t="array" aca="1" ref="L16" ca="1">IFERROR(SUMPRODUCT((WeeklyCumulative!$A$5:$A$32=tblBoardExport3[[#This Row],[DepartmentID]])*(WeeklyCumulative!$E$5:$E$32)),0)</f>
        <v>0</v>
      </c>
      <c r="M16" s="13" cm="1">
        <f t="array" aca="1" ref="M16" ca="1">IFERROR(SUMPRODUCT((WeeklyCumulative!$A$5:$A$32=tblBoardExport3[[#This Row],[DepartmentID]])*(WeeklyCumulative!$F$5:$F$32)),0)</f>
        <v>0</v>
      </c>
      <c r="N16" s="13">
        <f ca="1">_xlfn.RANK.AVG(tblBoardExport3[[#This Row],[Game Score]],tblBoardExport3[Game Score],0)</f>
        <v>15</v>
      </c>
    </row>
    <row r="17" spans="1:14" x14ac:dyDescent="0.25">
      <c r="A17" t="s">
        <v>245</v>
      </c>
      <c r="B17" s="99">
        <f ca="1">IFERROR(VLOOKUP(tblBoardExport3[[#This Row],[DepartmentID]], WeeklyCumulative!$A$5:$G$32, 7, FALSE), "")</f>
        <v>33.32</v>
      </c>
      <c r="C17" cm="1">
        <f t="array" aca="1" ref="C17" ca="1">IFERROR(SUMPRODUCT((WeeklyCumulative!$A$5:$A$32=tblBoardExport3[[#This Row],[DepartmentID]])*(WeeklyCumulative!$B$5:$F$32)),0)</f>
        <v>166.6</v>
      </c>
      <c r="D17">
        <f>WeeklyCumulative!$B$2</f>
        <v>7</v>
      </c>
      <c r="E17">
        <f>WeeklyCumulative!$D$2</f>
        <v>2026</v>
      </c>
      <c r="F17" cm="1">
        <f t="array" aca="1" ref="F17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7" cm="1">
        <f t="array" aca="1" ref="G1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7" s="13" cm="1">
        <f t="array" ref="H17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83.3</v>
      </c>
      <c r="I17" s="13" cm="1">
        <f t="array" aca="1" ref="I17" ca="1">IFERROR(SUMPRODUCT((WeeklyCumulative!$A$5:$A$32=tblBoardExport3[[#This Row],[DepartmentID]])*(WeeklyCumulative!$B$5:$B$32)),0)</f>
        <v>95.6</v>
      </c>
      <c r="J17" s="13" cm="1">
        <f t="array" aca="1" ref="J17" ca="1">IFERROR(SUMPRODUCT((WeeklyCumulative!$A$5:$A$32=tblBoardExport3[[#This Row],[DepartmentID]])*(WeeklyCumulative!$C$5:$C$32)),0)</f>
        <v>71</v>
      </c>
      <c r="K17" s="13" cm="1">
        <f t="array" aca="1" ref="K17" ca="1">IFERROR(SUMPRODUCT((WeeklyCumulative!$A$5:$A$32=tblBoardExport3[[#This Row],[DepartmentID]])*(WeeklyCumulative!$D$5:$D$32)),0)</f>
        <v>0</v>
      </c>
      <c r="L17" s="13" cm="1">
        <f t="array" aca="1" ref="L17" ca="1">IFERROR(SUMPRODUCT((WeeklyCumulative!$A$5:$A$32=tblBoardExport3[[#This Row],[DepartmentID]])*(WeeklyCumulative!$E$5:$E$32)),0)</f>
        <v>0</v>
      </c>
      <c r="M17" s="13" cm="1">
        <f t="array" aca="1" ref="M17" ca="1">IFERROR(SUMPRODUCT((WeeklyCumulative!$A$5:$A$32=tblBoardExport3[[#This Row],[DepartmentID]])*(WeeklyCumulative!$F$5:$F$32)),0)</f>
        <v>0</v>
      </c>
      <c r="N17" s="13">
        <f ca="1">_xlfn.RANK.AVG(tblBoardExport3[[#This Row],[Game Score]],tblBoardExport3[Game Score],0)</f>
        <v>16</v>
      </c>
    </row>
    <row r="18" spans="1:14" x14ac:dyDescent="0.25">
      <c r="A18" t="s">
        <v>255</v>
      </c>
      <c r="B18" s="99">
        <f ca="1">IFERROR(VLOOKUP(tblBoardExport3[[#This Row],[DepartmentID]], WeeklyCumulative!$A$5:$G$32, 7, FALSE), "")</f>
        <v>33.200000000000003</v>
      </c>
      <c r="C18" cm="1">
        <f t="array" aca="1" ref="C18" ca="1">IFERROR(SUMPRODUCT((WeeklyCumulative!$A$5:$A$32=tblBoardExport3[[#This Row],[DepartmentID]])*(WeeklyCumulative!$B$5:$F$32)),0)</f>
        <v>166</v>
      </c>
      <c r="D18">
        <f>WeeklyCumulative!$B$2</f>
        <v>7</v>
      </c>
      <c r="E18">
        <f>WeeklyCumulative!$D$2</f>
        <v>2026</v>
      </c>
      <c r="F18" cm="1">
        <f t="array" aca="1" ref="F18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8" cm="1">
        <f t="array" aca="1" ref="G1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8" s="13" cm="1">
        <f t="array" ref="H18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83</v>
      </c>
      <c r="I18" s="13" cm="1">
        <f t="array" aca="1" ref="I18" ca="1">IFERROR(SUMPRODUCT((WeeklyCumulative!$A$5:$A$32=tblBoardExport3[[#This Row],[DepartmentID]])*(WeeklyCumulative!$B$5:$B$32)),0)</f>
        <v>103</v>
      </c>
      <c r="J18" s="13" cm="1">
        <f t="array" aca="1" ref="J18" ca="1">IFERROR(SUMPRODUCT((WeeklyCumulative!$A$5:$A$32=tblBoardExport3[[#This Row],[DepartmentID]])*(WeeklyCumulative!$C$5:$C$32)),0)</f>
        <v>63</v>
      </c>
      <c r="K18" s="13" cm="1">
        <f t="array" aca="1" ref="K18" ca="1">IFERROR(SUMPRODUCT((WeeklyCumulative!$A$5:$A$32=tblBoardExport3[[#This Row],[DepartmentID]])*(WeeklyCumulative!$D$5:$D$32)),0)</f>
        <v>0</v>
      </c>
      <c r="L18" s="13" cm="1">
        <f t="array" aca="1" ref="L18" ca="1">IFERROR(SUMPRODUCT((WeeklyCumulative!$A$5:$A$32=tblBoardExport3[[#This Row],[DepartmentID]])*(WeeklyCumulative!$E$5:$E$32)),0)</f>
        <v>0</v>
      </c>
      <c r="M18" s="13" cm="1">
        <f t="array" aca="1" ref="M18" ca="1">IFERROR(SUMPRODUCT((WeeklyCumulative!$A$5:$A$32=tblBoardExport3[[#This Row],[DepartmentID]])*(WeeklyCumulative!$F$5:$F$32)),0)</f>
        <v>0</v>
      </c>
      <c r="N18" s="13">
        <f ca="1">_xlfn.RANK.AVG(tblBoardExport3[[#This Row],[Game Score]],tblBoardExport3[Game Score],0)</f>
        <v>17</v>
      </c>
    </row>
    <row r="19" spans="1:14" x14ac:dyDescent="0.25">
      <c r="A19" t="s">
        <v>268</v>
      </c>
      <c r="B19" s="99">
        <f ca="1">IFERROR(VLOOKUP(tblBoardExport3[[#This Row],[DepartmentID]], WeeklyCumulative!$A$5:$G$32, 7, FALSE), "")</f>
        <v>31</v>
      </c>
      <c r="C19" cm="1">
        <f t="array" aca="1" ref="C19" ca="1">IFERROR(SUMPRODUCT((WeeklyCumulative!$A$5:$A$32=tblBoardExport3[[#This Row],[DepartmentID]])*(WeeklyCumulative!$B$5:$F$32)),0)</f>
        <v>155</v>
      </c>
      <c r="D19">
        <f>WeeklyCumulative!$B$2</f>
        <v>7</v>
      </c>
      <c r="E19">
        <f>WeeklyCumulative!$D$2</f>
        <v>2026</v>
      </c>
      <c r="F19" cm="1">
        <f t="array" aca="1" ref="F19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19" cm="1">
        <f t="array" aca="1" ref="G1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19" s="13" cm="1">
        <f t="array" ref="H19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77.5</v>
      </c>
      <c r="I19" s="13" cm="1">
        <f t="array" aca="1" ref="I19" ca="1">IFERROR(SUMPRODUCT((WeeklyCumulative!$A$5:$A$32=tblBoardExport3[[#This Row],[DepartmentID]])*(WeeklyCumulative!$B$5:$B$32)),0)</f>
        <v>105</v>
      </c>
      <c r="J19" s="13" cm="1">
        <f t="array" aca="1" ref="J19" ca="1">IFERROR(SUMPRODUCT((WeeklyCumulative!$A$5:$A$32=tblBoardExport3[[#This Row],[DepartmentID]])*(WeeklyCumulative!$C$5:$C$32)),0)</f>
        <v>50</v>
      </c>
      <c r="K19" s="13" cm="1">
        <f t="array" aca="1" ref="K19" ca="1">IFERROR(SUMPRODUCT((WeeklyCumulative!$A$5:$A$32=tblBoardExport3[[#This Row],[DepartmentID]])*(WeeklyCumulative!$D$5:$D$32)),0)</f>
        <v>0</v>
      </c>
      <c r="L19" s="13" cm="1">
        <f t="array" aca="1" ref="L19" ca="1">IFERROR(SUMPRODUCT((WeeklyCumulative!$A$5:$A$32=tblBoardExport3[[#This Row],[DepartmentID]])*(WeeklyCumulative!$E$5:$E$32)),0)</f>
        <v>0</v>
      </c>
      <c r="M19" s="13" cm="1">
        <f t="array" aca="1" ref="M19" ca="1">IFERROR(SUMPRODUCT((WeeklyCumulative!$A$5:$A$32=tblBoardExport3[[#This Row],[DepartmentID]])*(WeeklyCumulative!$F$5:$F$32)),0)</f>
        <v>0</v>
      </c>
      <c r="N19" s="13">
        <f ca="1">_xlfn.RANK.AVG(tblBoardExport3[[#This Row],[Game Score]],tblBoardExport3[Game Score],0)</f>
        <v>18</v>
      </c>
    </row>
    <row r="20" spans="1:14" x14ac:dyDescent="0.25">
      <c r="A20" t="s">
        <v>263</v>
      </c>
      <c r="B20" s="99">
        <f ca="1">IFERROR(VLOOKUP(tblBoardExport3[[#This Row],[DepartmentID]], WeeklyCumulative!$A$5:$G$32, 7, FALSE), "")</f>
        <v>27.2</v>
      </c>
      <c r="C20" cm="1">
        <f t="array" aca="1" ref="C20" ca="1">IFERROR(SUMPRODUCT((WeeklyCumulative!$A$5:$A$32=tblBoardExport3[[#This Row],[DepartmentID]])*(WeeklyCumulative!$B$5:$F$32)),0)</f>
        <v>136</v>
      </c>
      <c r="D20">
        <f>WeeklyCumulative!$B$2</f>
        <v>7</v>
      </c>
      <c r="E20">
        <f>WeeklyCumulative!$D$2</f>
        <v>2026</v>
      </c>
      <c r="F20" cm="1">
        <f t="array" aca="1" ref="F20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0" cm="1">
        <f t="array" aca="1" ref="G20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0" s="13" cm="1">
        <f t="array" ref="H20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68</v>
      </c>
      <c r="I20" s="13" cm="1">
        <f t="array" aca="1" ref="I20" ca="1">IFERROR(SUMPRODUCT((WeeklyCumulative!$A$5:$A$32=tblBoardExport3[[#This Row],[DepartmentID]])*(WeeklyCumulative!$B$5:$B$32)),0)</f>
        <v>83</v>
      </c>
      <c r="J20" s="13" cm="1">
        <f t="array" aca="1" ref="J20" ca="1">IFERROR(SUMPRODUCT((WeeklyCumulative!$A$5:$A$32=tblBoardExport3[[#This Row],[DepartmentID]])*(WeeklyCumulative!$C$5:$C$32)),0)</f>
        <v>53</v>
      </c>
      <c r="K20" s="13" cm="1">
        <f t="array" aca="1" ref="K20" ca="1">IFERROR(SUMPRODUCT((WeeklyCumulative!$A$5:$A$32=tblBoardExport3[[#This Row],[DepartmentID]])*(WeeklyCumulative!$D$5:$D$32)),0)</f>
        <v>0</v>
      </c>
      <c r="L20" s="13" cm="1">
        <f t="array" aca="1" ref="L20" ca="1">IFERROR(SUMPRODUCT((WeeklyCumulative!$A$5:$A$32=tblBoardExport3[[#This Row],[DepartmentID]])*(WeeklyCumulative!$E$5:$E$32)),0)</f>
        <v>0</v>
      </c>
      <c r="M20" s="13" cm="1">
        <f t="array" aca="1" ref="M20" ca="1">IFERROR(SUMPRODUCT((WeeklyCumulative!$A$5:$A$32=tblBoardExport3[[#This Row],[DepartmentID]])*(WeeklyCumulative!$F$5:$F$32)),0)</f>
        <v>0</v>
      </c>
      <c r="N20" s="13">
        <f ca="1">_xlfn.RANK.AVG(tblBoardExport3[[#This Row],[Game Score]],tblBoardExport3[Game Score],0)</f>
        <v>19</v>
      </c>
    </row>
    <row r="21" spans="1:14" x14ac:dyDescent="0.25">
      <c r="A21" t="s">
        <v>249</v>
      </c>
      <c r="B21" s="99">
        <f ca="1">IFERROR(VLOOKUP(tblBoardExport3[[#This Row],[DepartmentID]], WeeklyCumulative!$A$5:$G$32, 7, FALSE), "")</f>
        <v>27</v>
      </c>
      <c r="C21" cm="1">
        <f t="array" aca="1" ref="C21" ca="1">IFERROR(SUMPRODUCT((WeeklyCumulative!$A$5:$A$32=tblBoardExport3[[#This Row],[DepartmentID]])*(WeeklyCumulative!$B$5:$F$32)),0)</f>
        <v>135</v>
      </c>
      <c r="D21">
        <f>WeeklyCumulative!$B$2</f>
        <v>7</v>
      </c>
      <c r="E21">
        <f>WeeklyCumulative!$D$2</f>
        <v>2026</v>
      </c>
      <c r="F21" cm="1">
        <f t="array" aca="1" ref="F21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1" cm="1">
        <f t="array" aca="1" ref="G21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1" s="13" cm="1">
        <f t="array" ref="H21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67.5</v>
      </c>
      <c r="I21" s="13" cm="1">
        <f t="array" aca="1" ref="I21" ca="1">IFERROR(SUMPRODUCT((WeeklyCumulative!$A$5:$A$32=tblBoardExport3[[#This Row],[DepartmentID]])*(WeeklyCumulative!$B$5:$B$32)),0)</f>
        <v>60</v>
      </c>
      <c r="J21" s="13" cm="1">
        <f t="array" aca="1" ref="J21" ca="1">IFERROR(SUMPRODUCT((WeeklyCumulative!$A$5:$A$32=tblBoardExport3[[#This Row],[DepartmentID]])*(WeeklyCumulative!$C$5:$C$32)),0)</f>
        <v>75</v>
      </c>
      <c r="K21" s="13" cm="1">
        <f t="array" aca="1" ref="K21" ca="1">IFERROR(SUMPRODUCT((WeeklyCumulative!$A$5:$A$32=tblBoardExport3[[#This Row],[DepartmentID]])*(WeeklyCumulative!$D$5:$D$32)),0)</f>
        <v>0</v>
      </c>
      <c r="L21" s="13" cm="1">
        <f t="array" aca="1" ref="L21" ca="1">IFERROR(SUMPRODUCT((WeeklyCumulative!$A$5:$A$32=tblBoardExport3[[#This Row],[DepartmentID]])*(WeeklyCumulative!$E$5:$E$32)),0)</f>
        <v>0</v>
      </c>
      <c r="M21" s="13" cm="1">
        <f t="array" aca="1" ref="M21" ca="1">IFERROR(SUMPRODUCT((WeeklyCumulative!$A$5:$A$32=tblBoardExport3[[#This Row],[DepartmentID]])*(WeeklyCumulative!$F$5:$F$32)),0)</f>
        <v>0</v>
      </c>
      <c r="N21" s="13">
        <f ca="1">_xlfn.RANK.AVG(tblBoardExport3[[#This Row],[Game Score]],tblBoardExport3[Game Score],0)</f>
        <v>20</v>
      </c>
    </row>
    <row r="22" spans="1:14" x14ac:dyDescent="0.25">
      <c r="A22" t="s">
        <v>248</v>
      </c>
      <c r="B22" s="99">
        <f ca="1">IFERROR(VLOOKUP(tblBoardExport3[[#This Row],[DepartmentID]], WeeklyCumulative!$A$5:$G$32, 7, FALSE), "")</f>
        <v>25.240000000000002</v>
      </c>
      <c r="C22" cm="1">
        <f t="array" aca="1" ref="C22" ca="1">IFERROR(SUMPRODUCT((WeeklyCumulative!$A$5:$A$32=tblBoardExport3[[#This Row],[DepartmentID]])*(WeeklyCumulative!$B$5:$F$32)),0)</f>
        <v>126.2</v>
      </c>
      <c r="D22">
        <f>WeeklyCumulative!$B$2</f>
        <v>7</v>
      </c>
      <c r="E22">
        <f>WeeklyCumulative!$D$2</f>
        <v>2026</v>
      </c>
      <c r="F22" cm="1">
        <f t="array" aca="1" ref="F22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2" cm="1">
        <f t="array" aca="1" ref="G22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2" s="13" cm="1">
        <f t="array" ref="H22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63.1</v>
      </c>
      <c r="I22" s="13" cm="1">
        <f t="array" aca="1" ref="I22" ca="1">IFERROR(SUMPRODUCT((WeeklyCumulative!$A$5:$A$32=tblBoardExport3[[#This Row],[DepartmentID]])*(WeeklyCumulative!$B$5:$B$32)),0)</f>
        <v>95.2</v>
      </c>
      <c r="J22" s="13" cm="1">
        <f t="array" aca="1" ref="J22" ca="1">IFERROR(SUMPRODUCT((WeeklyCumulative!$A$5:$A$32=tblBoardExport3[[#This Row],[DepartmentID]])*(WeeklyCumulative!$C$5:$C$32)),0)</f>
        <v>31</v>
      </c>
      <c r="K22" s="13" cm="1">
        <f t="array" aca="1" ref="K22" ca="1">IFERROR(SUMPRODUCT((WeeklyCumulative!$A$5:$A$32=tblBoardExport3[[#This Row],[DepartmentID]])*(WeeklyCumulative!$D$5:$D$32)),0)</f>
        <v>0</v>
      </c>
      <c r="L22" s="13" cm="1">
        <f t="array" aca="1" ref="L22" ca="1">IFERROR(SUMPRODUCT((WeeklyCumulative!$A$5:$A$32=tblBoardExport3[[#This Row],[DepartmentID]])*(WeeklyCumulative!$E$5:$E$32)),0)</f>
        <v>0</v>
      </c>
      <c r="M22" s="13" cm="1">
        <f t="array" aca="1" ref="M22" ca="1">IFERROR(SUMPRODUCT((WeeklyCumulative!$A$5:$A$32=tblBoardExport3[[#This Row],[DepartmentID]])*(WeeklyCumulative!$F$5:$F$32)),0)</f>
        <v>0</v>
      </c>
      <c r="N22" s="13">
        <f ca="1">_xlfn.RANK.AVG(tblBoardExport3[[#This Row],[Game Score]],tblBoardExport3[Game Score],0)</f>
        <v>21</v>
      </c>
    </row>
    <row r="23" spans="1:14" x14ac:dyDescent="0.25">
      <c r="A23" t="s">
        <v>247</v>
      </c>
      <c r="B23" s="99">
        <f ca="1">IFERROR(VLOOKUP(tblBoardExport3[[#This Row],[DepartmentID]], WeeklyCumulative!$A$5:$G$32, 7, FALSE), "")</f>
        <v>23.2</v>
      </c>
      <c r="C23" cm="1">
        <f t="array" aca="1" ref="C23" ca="1">IFERROR(SUMPRODUCT((WeeklyCumulative!$A$5:$A$32=tblBoardExport3[[#This Row],[DepartmentID]])*(WeeklyCumulative!$B$5:$F$32)),0)</f>
        <v>116</v>
      </c>
      <c r="D23">
        <f>WeeklyCumulative!$B$2</f>
        <v>7</v>
      </c>
      <c r="E23">
        <f>WeeklyCumulative!$D$2</f>
        <v>2026</v>
      </c>
      <c r="F23" cm="1">
        <f t="array" aca="1" ref="F23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3" cm="1">
        <f t="array" aca="1" ref="G23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3" s="13" cm="1">
        <f t="array" ref="H23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58</v>
      </c>
      <c r="I23" s="13" cm="1">
        <f t="array" aca="1" ref="I23" ca="1">IFERROR(SUMPRODUCT((WeeklyCumulative!$A$5:$A$32=tblBoardExport3[[#This Row],[DepartmentID]])*(WeeklyCumulative!$B$5:$B$32)),0)</f>
        <v>43</v>
      </c>
      <c r="J23" s="13" cm="1">
        <f t="array" aca="1" ref="J23" ca="1">IFERROR(SUMPRODUCT((WeeklyCumulative!$A$5:$A$32=tblBoardExport3[[#This Row],[DepartmentID]])*(WeeklyCumulative!$C$5:$C$32)),0)</f>
        <v>73</v>
      </c>
      <c r="K23" s="13" cm="1">
        <f t="array" aca="1" ref="K23" ca="1">IFERROR(SUMPRODUCT((WeeklyCumulative!$A$5:$A$32=tblBoardExport3[[#This Row],[DepartmentID]])*(WeeklyCumulative!$D$5:$D$32)),0)</f>
        <v>0</v>
      </c>
      <c r="L23" s="13" cm="1">
        <f t="array" aca="1" ref="L23" ca="1">IFERROR(SUMPRODUCT((WeeklyCumulative!$A$5:$A$32=tblBoardExport3[[#This Row],[DepartmentID]])*(WeeklyCumulative!$E$5:$E$32)),0)</f>
        <v>0</v>
      </c>
      <c r="M23" s="13" cm="1">
        <f t="array" aca="1" ref="M23" ca="1">IFERROR(SUMPRODUCT((WeeklyCumulative!$A$5:$A$32=tblBoardExport3[[#This Row],[DepartmentID]])*(WeeklyCumulative!$F$5:$F$32)),0)</f>
        <v>0</v>
      </c>
      <c r="N23" s="13">
        <f ca="1">_xlfn.RANK.AVG(tblBoardExport3[[#This Row],[Game Score]],tblBoardExport3[Game Score],0)</f>
        <v>22</v>
      </c>
    </row>
    <row r="24" spans="1:14" x14ac:dyDescent="0.25">
      <c r="A24" t="s">
        <v>251</v>
      </c>
      <c r="B24" s="99">
        <f ca="1">IFERROR(VLOOKUP(tblBoardExport3[[#This Row],[DepartmentID]], WeeklyCumulative!$A$5:$G$32, 7, FALSE), "")</f>
        <v>20.600000000000023</v>
      </c>
      <c r="C24" cm="1">
        <f t="array" aca="1" ref="C24" ca="1">IFERROR(SUMPRODUCT((WeeklyCumulative!$A$5:$A$32=tblBoardExport3[[#This Row],[DepartmentID]])*(WeeklyCumulative!$B$5:$F$32)),0)</f>
        <v>103.00000000000011</v>
      </c>
      <c r="D24">
        <f>WeeklyCumulative!$B$2</f>
        <v>7</v>
      </c>
      <c r="E24">
        <f>WeeklyCumulative!$D$2</f>
        <v>2026</v>
      </c>
      <c r="F24" cm="1">
        <f t="array" aca="1" ref="F24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4" cm="1">
        <f t="array" aca="1" ref="G24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4" s="13" cm="1">
        <f t="array" ref="H24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51.5</v>
      </c>
      <c r="I24" s="13" cm="1">
        <f t="array" aca="1" ref="I24" ca="1">IFERROR(SUMPRODUCT((WeeklyCumulative!$A$5:$A$32=tblBoardExport3[[#This Row],[DepartmentID]])*(WeeklyCumulative!$B$5:$B$32)),0)</f>
        <v>30</v>
      </c>
      <c r="J24" s="13" cm="1">
        <f t="array" aca="1" ref="J24" ca="1">IFERROR(SUMPRODUCT((WeeklyCumulative!$A$5:$A$32=tblBoardExport3[[#This Row],[DepartmentID]])*(WeeklyCumulative!$C$5:$C$32)),0)</f>
        <v>73.000000000000114</v>
      </c>
      <c r="K24" s="13" cm="1">
        <f t="array" aca="1" ref="K24" ca="1">IFERROR(SUMPRODUCT((WeeklyCumulative!$A$5:$A$32=tblBoardExport3[[#This Row],[DepartmentID]])*(WeeklyCumulative!$D$5:$D$32)),0)</f>
        <v>0</v>
      </c>
      <c r="L24" s="13" cm="1">
        <f t="array" aca="1" ref="L24" ca="1">IFERROR(SUMPRODUCT((WeeklyCumulative!$A$5:$A$32=tblBoardExport3[[#This Row],[DepartmentID]])*(WeeklyCumulative!$E$5:$E$32)),0)</f>
        <v>0</v>
      </c>
      <c r="M24" s="13" cm="1">
        <f t="array" aca="1" ref="M24" ca="1">IFERROR(SUMPRODUCT((WeeklyCumulative!$A$5:$A$32=tblBoardExport3[[#This Row],[DepartmentID]])*(WeeklyCumulative!$F$5:$F$32)),0)</f>
        <v>0</v>
      </c>
      <c r="N24" s="13">
        <f ca="1">_xlfn.RANK.AVG(tblBoardExport3[[#This Row],[Game Score]],tblBoardExport3[Game Score],0)</f>
        <v>23</v>
      </c>
    </row>
    <row r="25" spans="1:14" x14ac:dyDescent="0.25">
      <c r="A25" t="s">
        <v>254</v>
      </c>
      <c r="B25" s="99">
        <f ca="1">IFERROR(VLOOKUP(tblBoardExport3[[#This Row],[DepartmentID]], WeeklyCumulative!$A$5:$G$32, 7, FALSE), "")</f>
        <v>20.2</v>
      </c>
      <c r="C25" cm="1">
        <f t="array" aca="1" ref="C25" ca="1">IFERROR(SUMPRODUCT((WeeklyCumulative!$A$5:$A$32=tblBoardExport3[[#This Row],[DepartmentID]])*(WeeklyCumulative!$B$5:$F$32)),0)</f>
        <v>101</v>
      </c>
      <c r="D25">
        <f>WeeklyCumulative!$B$2</f>
        <v>7</v>
      </c>
      <c r="E25">
        <f>WeeklyCumulative!$D$2</f>
        <v>2026</v>
      </c>
      <c r="F25" cm="1">
        <f t="array" aca="1" ref="F25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5" cm="1">
        <f t="array" aca="1" ref="G25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5" s="13" cm="1">
        <f t="array" ref="H25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50.5</v>
      </c>
      <c r="I25" s="13" cm="1">
        <f t="array" aca="1" ref="I25" ca="1">IFERROR(SUMPRODUCT((WeeklyCumulative!$A$5:$A$32=tblBoardExport3[[#This Row],[DepartmentID]])*(WeeklyCumulative!$B$5:$B$32)),0)</f>
        <v>61</v>
      </c>
      <c r="J25" s="13" cm="1">
        <f t="array" aca="1" ref="J25" ca="1">IFERROR(SUMPRODUCT((WeeklyCumulative!$A$5:$A$32=tblBoardExport3[[#This Row],[DepartmentID]])*(WeeklyCumulative!$C$5:$C$32)),0)</f>
        <v>40</v>
      </c>
      <c r="K25" s="13" cm="1">
        <f t="array" aca="1" ref="K25" ca="1">IFERROR(SUMPRODUCT((WeeklyCumulative!$A$5:$A$32=tblBoardExport3[[#This Row],[DepartmentID]])*(WeeklyCumulative!$D$5:$D$32)),0)</f>
        <v>0</v>
      </c>
      <c r="L25" s="13" cm="1">
        <f t="array" aca="1" ref="L25" ca="1">IFERROR(SUMPRODUCT((WeeklyCumulative!$A$5:$A$32=tblBoardExport3[[#This Row],[DepartmentID]])*(WeeklyCumulative!$E$5:$E$32)),0)</f>
        <v>0</v>
      </c>
      <c r="M25" s="13" cm="1">
        <f t="array" aca="1" ref="M25" ca="1">IFERROR(SUMPRODUCT((WeeklyCumulative!$A$5:$A$32=tblBoardExport3[[#This Row],[DepartmentID]])*(WeeklyCumulative!$F$5:$F$32)),0)</f>
        <v>0</v>
      </c>
      <c r="N25" s="13">
        <f ca="1">_xlfn.RANK.AVG(tblBoardExport3[[#This Row],[Game Score]],tblBoardExport3[Game Score],0)</f>
        <v>24</v>
      </c>
    </row>
    <row r="26" spans="1:14" x14ac:dyDescent="0.25">
      <c r="A26" t="s">
        <v>269</v>
      </c>
      <c r="B26" s="99">
        <f ca="1">IFERROR(VLOOKUP(tblBoardExport3[[#This Row],[DepartmentID]], WeeklyCumulative!$A$5:$G$32, 7, FALSE), "")</f>
        <v>20</v>
      </c>
      <c r="C26" cm="1">
        <f t="array" aca="1" ref="C26" ca="1">IFERROR(SUMPRODUCT((WeeklyCumulative!$A$5:$A$32=tblBoardExport3[[#This Row],[DepartmentID]])*(WeeklyCumulative!$B$5:$F$32)),0)</f>
        <v>100</v>
      </c>
      <c r="D26">
        <f>WeeklyCumulative!$B$2</f>
        <v>7</v>
      </c>
      <c r="E26">
        <f>WeeklyCumulative!$D$2</f>
        <v>2026</v>
      </c>
      <c r="F26" cm="1">
        <f t="array" aca="1" ref="F26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6" cm="1">
        <f t="array" aca="1" ref="G26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6" s="13" cm="1">
        <f t="array" ref="H26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50</v>
      </c>
      <c r="I26" s="13" cm="1">
        <f t="array" aca="1" ref="I26" ca="1">IFERROR(SUMPRODUCT((WeeklyCumulative!$A$5:$A$32=tblBoardExport3[[#This Row],[DepartmentID]])*(WeeklyCumulative!$B$5:$B$32)),0)</f>
        <v>50</v>
      </c>
      <c r="J26" s="13" cm="1">
        <f t="array" aca="1" ref="J26" ca="1">IFERROR(SUMPRODUCT((WeeklyCumulative!$A$5:$A$32=tblBoardExport3[[#This Row],[DepartmentID]])*(WeeklyCumulative!$C$5:$C$32)),0)</f>
        <v>50</v>
      </c>
      <c r="K26" s="13" cm="1">
        <f t="array" aca="1" ref="K26" ca="1">IFERROR(SUMPRODUCT((WeeklyCumulative!$A$5:$A$32=tblBoardExport3[[#This Row],[DepartmentID]])*(WeeklyCumulative!$D$5:$D$32)),0)</f>
        <v>0</v>
      </c>
      <c r="L26" s="13" cm="1">
        <f t="array" aca="1" ref="L26" ca="1">IFERROR(SUMPRODUCT((WeeklyCumulative!$A$5:$A$32=tblBoardExport3[[#This Row],[DepartmentID]])*(WeeklyCumulative!$E$5:$E$32)),0)</f>
        <v>0</v>
      </c>
      <c r="M26" s="13" cm="1">
        <f t="array" aca="1" ref="M26" ca="1">IFERROR(SUMPRODUCT((WeeklyCumulative!$A$5:$A$32=tblBoardExport3[[#This Row],[DepartmentID]])*(WeeklyCumulative!$F$5:$F$32)),0)</f>
        <v>0</v>
      </c>
      <c r="N26" s="13">
        <f ca="1">_xlfn.RANK.AVG(tblBoardExport3[[#This Row],[Game Score]],tblBoardExport3[Game Score],0)</f>
        <v>25</v>
      </c>
    </row>
    <row r="27" spans="1:14" x14ac:dyDescent="0.25">
      <c r="A27" t="s">
        <v>264</v>
      </c>
      <c r="B27" s="99">
        <f ca="1">IFERROR(VLOOKUP(tblBoardExport3[[#This Row],[DepartmentID]], WeeklyCumulative!$A$5:$G$32, 7, FALSE), "")</f>
        <v>15</v>
      </c>
      <c r="C27" cm="1">
        <f t="array" aca="1" ref="C27" ca="1">IFERROR(SUMPRODUCT((WeeklyCumulative!$A$5:$A$32=tblBoardExport3[[#This Row],[DepartmentID]])*(WeeklyCumulative!$B$5:$F$32)),0)</f>
        <v>75</v>
      </c>
      <c r="D27">
        <f>WeeklyCumulative!$B$2</f>
        <v>7</v>
      </c>
      <c r="E27">
        <f>WeeklyCumulative!$D$2</f>
        <v>2026</v>
      </c>
      <c r="F27" cm="1">
        <f t="array" aca="1" ref="F27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1</v>
      </c>
      <c r="G27" cm="1">
        <f t="array" aca="1" ref="G27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7" s="13" cm="1">
        <f t="array" ref="H27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37.5</v>
      </c>
      <c r="I27" s="13" cm="1">
        <f t="array" aca="1" ref="I27" ca="1">IFERROR(SUMPRODUCT((WeeklyCumulative!$A$5:$A$32=tblBoardExport3[[#This Row],[DepartmentID]])*(WeeklyCumulative!$B$5:$B$32)),0)</f>
        <v>0</v>
      </c>
      <c r="J27" s="13" cm="1">
        <f t="array" aca="1" ref="J27" ca="1">IFERROR(SUMPRODUCT((WeeklyCumulative!$A$5:$A$32=tblBoardExport3[[#This Row],[DepartmentID]])*(WeeklyCumulative!$C$5:$C$32)),0)</f>
        <v>75</v>
      </c>
      <c r="K27" s="13" cm="1">
        <f t="array" aca="1" ref="K27" ca="1">IFERROR(SUMPRODUCT((WeeklyCumulative!$A$5:$A$32=tblBoardExport3[[#This Row],[DepartmentID]])*(WeeklyCumulative!$D$5:$D$32)),0)</f>
        <v>0</v>
      </c>
      <c r="L27" s="13" cm="1">
        <f t="array" aca="1" ref="L27" ca="1">IFERROR(SUMPRODUCT((WeeklyCumulative!$A$5:$A$32=tblBoardExport3[[#This Row],[DepartmentID]])*(WeeklyCumulative!$E$5:$E$32)),0)</f>
        <v>0</v>
      </c>
      <c r="M27" s="13" cm="1">
        <f t="array" aca="1" ref="M27" ca="1">IFERROR(SUMPRODUCT((WeeklyCumulative!$A$5:$A$32=tblBoardExport3[[#This Row],[DepartmentID]])*(WeeklyCumulative!$F$5:$F$32)),0)</f>
        <v>0</v>
      </c>
      <c r="N27" s="13">
        <f ca="1">_xlfn.RANK.AVG(tblBoardExport3[[#This Row],[Game Score]],tblBoardExport3[Game Score],0)</f>
        <v>26</v>
      </c>
    </row>
    <row r="28" spans="1:14" x14ac:dyDescent="0.25">
      <c r="A28" t="s">
        <v>262</v>
      </c>
      <c r="B28" s="99">
        <f ca="1">IFERROR(VLOOKUP(tblBoardExport3[[#This Row],[DepartmentID]], WeeklyCumulative!$A$5:$G$32, 7, FALSE), "")</f>
        <v>10</v>
      </c>
      <c r="C28" cm="1">
        <f t="array" aca="1" ref="C28" ca="1">IFERROR(SUMPRODUCT((WeeklyCumulative!$A$5:$A$32=tblBoardExport3[[#This Row],[DepartmentID]])*(WeeklyCumulative!$B$5:$F$32)),0)</f>
        <v>50</v>
      </c>
      <c r="D28">
        <f>WeeklyCumulative!$B$2</f>
        <v>7</v>
      </c>
      <c r="E28">
        <f>WeeklyCumulative!$D$2</f>
        <v>2026</v>
      </c>
      <c r="F28" cm="1">
        <f t="array" aca="1" ref="F28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2</v>
      </c>
      <c r="G28" cm="1">
        <f t="array" aca="1" ref="G28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8" s="13" cm="1">
        <f t="array" ref="H28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25</v>
      </c>
      <c r="I28" s="13" cm="1">
        <f t="array" aca="1" ref="I28" ca="1">IFERROR(SUMPRODUCT((WeeklyCumulative!$A$5:$A$32=tblBoardExport3[[#This Row],[DepartmentID]])*(WeeklyCumulative!$B$5:$B$32)),0)</f>
        <v>20</v>
      </c>
      <c r="J28" s="13" cm="1">
        <f t="array" aca="1" ref="J28" ca="1">IFERROR(SUMPRODUCT((WeeklyCumulative!$A$5:$A$32=tblBoardExport3[[#This Row],[DepartmentID]])*(WeeklyCumulative!$C$5:$C$32)),0)</f>
        <v>30</v>
      </c>
      <c r="K28" s="13" cm="1">
        <f t="array" aca="1" ref="K28" ca="1">IFERROR(SUMPRODUCT((WeeklyCumulative!$A$5:$A$32=tblBoardExport3[[#This Row],[DepartmentID]])*(WeeklyCumulative!$D$5:$D$32)),0)</f>
        <v>0</v>
      </c>
      <c r="L28" s="13" cm="1">
        <f t="array" aca="1" ref="L28" ca="1">IFERROR(SUMPRODUCT((WeeklyCumulative!$A$5:$A$32=tblBoardExport3[[#This Row],[DepartmentID]])*(WeeklyCumulative!$E$5:$E$32)),0)</f>
        <v>0</v>
      </c>
      <c r="M28" s="13" cm="1">
        <f t="array" aca="1" ref="M28" ca="1">IFERROR(SUMPRODUCT((WeeklyCumulative!$A$5:$A$32=tblBoardExport3[[#This Row],[DepartmentID]])*(WeeklyCumulative!$F$5:$F$32)),0)</f>
        <v>0</v>
      </c>
      <c r="N28" s="13">
        <f ca="1">_xlfn.RANK.AVG(tblBoardExport3[[#This Row],[Game Score]],tblBoardExport3[Game Score],0)</f>
        <v>27</v>
      </c>
    </row>
    <row r="29" spans="1:14" x14ac:dyDescent="0.25">
      <c r="A29" t="s">
        <v>266</v>
      </c>
      <c r="B29" s="99">
        <f ca="1">IFERROR(VLOOKUP(tblBoardExport3[[#This Row],[DepartmentID]], WeeklyCumulative!$A$5:$G$32, 7, FALSE), "")</f>
        <v>4</v>
      </c>
      <c r="C29" cm="1">
        <f t="array" aca="1" ref="C29" ca="1">IFERROR(SUMPRODUCT((WeeklyCumulative!$A$5:$A$32=tblBoardExport3[[#This Row],[DepartmentID]])*(WeeklyCumulative!$B$5:$F$32)),0)</f>
        <v>20</v>
      </c>
      <c r="D29">
        <f>WeeklyCumulative!$B$2</f>
        <v>7</v>
      </c>
      <c r="E29">
        <f>WeeklyCumulative!$D$2</f>
        <v>2026</v>
      </c>
      <c r="F29" cm="1">
        <f t="array" aca="1" ref="F29" ca="1">IFERROR(SUMPRODUCT((WeeklyCumulative!$A$5:$A$32=tblBoardExport3[[#This Row],[DepartmentID]])*((WeeklyCumulative!$B$5:$B$32&gt;0)*1+(WeeklyCumulative!$C$5:$C$32&gt;0)*1+(WeeklyCumulative!$D$5:$D$32&gt;0)*1+(WeeklyCumulative!$E$5:$E$32&gt;0)*1+(WeeklyCumulative!$F$5:$F$32&gt;0)*1)),0)</f>
        <v>1</v>
      </c>
      <c r="G29" cm="1">
        <f t="array" aca="1" ref="G29" ca="1">_xlfn.LET(_xlpm.m,WeeklyCumulative!$B$2,_xlpm.y,WeeklyCumulative!$D$2,_xlpm.firstDay,DATE(_xlpm.y,_xlpm.m,1),_xlpm.lastDay,EOMONTH(_xlpm.firstDay,0),SUMPRODUCT((WEEKDAY(ROW(INDIRECT(_xlpm.firstDay&amp;":"&amp;_xlpm.lastDay)),2)=5)*1))</f>
        <v>5</v>
      </c>
      <c r="H29" s="13" cm="1">
        <f t="array" ref="H29">_xlfn.LET(
        _xlpm.rawName,tblBoardExport3[[#This Row],[DepartmentID]],
        _xlpm.normalizedName,UPPER(SUBSTITUTE(_xlpm.rawName,"-"," ")),
        _xlpm.specialName,IF(LOWER(_xlpm.rawName)="windows-ird-boh","WINDOWS/IRD BOH",_xlpm.normalizedName),
        _xlpm.forecastMatch,IFERROR(INDEX('Yearly Leaderboard'!$B$7:$B$18,MATCH(_xlpm.specialName,UPPER('Yearly Leaderboard'!$A$7:$A$18),0)),-1),
        _xlpm.nonforecastMatch,IFERROR(INDEX('Yearly Leaderboard'!$B$25:$B$40,MATCH(_xlpm.specialName,UPPER('Yearly Leaderboard'!$A$25:$A$40),0)),-1),
        IF(_xlpm.forecastMatch&gt;=0,_xlpm.forecastMatch,IF(_xlpm.nonforecastMatch&gt;=0,_xlpm.nonforecastMatch,0))
    )</f>
        <v>10</v>
      </c>
      <c r="I29" s="13" cm="1">
        <f t="array" aca="1" ref="I29" ca="1">IFERROR(SUMPRODUCT((WeeklyCumulative!$A$5:$A$32=tblBoardExport3[[#This Row],[DepartmentID]])*(WeeklyCumulative!$B$5:$B$32)),0)</f>
        <v>20</v>
      </c>
      <c r="J29" s="13" cm="1">
        <f t="array" aca="1" ref="J29" ca="1">IFERROR(SUMPRODUCT((WeeklyCumulative!$A$5:$A$32=tblBoardExport3[[#This Row],[DepartmentID]])*(WeeklyCumulative!$C$5:$C$32)),0)</f>
        <v>0</v>
      </c>
      <c r="K29" s="13" cm="1">
        <f t="array" aca="1" ref="K29" ca="1">IFERROR(SUMPRODUCT((WeeklyCumulative!$A$5:$A$32=tblBoardExport3[[#This Row],[DepartmentID]])*(WeeklyCumulative!$D$5:$D$32)),0)</f>
        <v>0</v>
      </c>
      <c r="L29" s="13" cm="1">
        <f t="array" aca="1" ref="L29" ca="1">IFERROR(SUMPRODUCT((WeeklyCumulative!$A$5:$A$32=tblBoardExport3[[#This Row],[DepartmentID]])*(WeeklyCumulative!$E$5:$E$32)),0)</f>
        <v>0</v>
      </c>
      <c r="M29" s="13" cm="1">
        <f t="array" aca="1" ref="M29" ca="1">IFERROR(SUMPRODUCT((WeeklyCumulative!$A$5:$A$32=tblBoardExport3[[#This Row],[DepartmentID]])*(WeeklyCumulative!$F$5:$F$32)),0)</f>
        <v>0</v>
      </c>
      <c r="N29" s="13">
        <f ca="1">_xlfn.RANK.AVG(tblBoardExport3[[#This Row],[Game Score]],tblBoardExport3[Game Score],0)</f>
        <v>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B36726BCC684081C2EB7CBD9809A5" ma:contentTypeVersion="11" ma:contentTypeDescription="Create a new document." ma:contentTypeScope="" ma:versionID="6a1ad9e4ee56e22a68900509d77bd15d">
  <xsd:schema xmlns:xsd="http://www.w3.org/2001/XMLSchema" xmlns:xs="http://www.w3.org/2001/XMLSchema" xmlns:p="http://schemas.microsoft.com/office/2006/metadata/properties" xmlns:ns2="b1488bec-07dc-4490-8381-d7e9ad06eb00" targetNamespace="http://schemas.microsoft.com/office/2006/metadata/properties" ma:root="true" ma:fieldsID="a1535539a72a483c01819700f528b58b" ns2:_="">
    <xsd:import namespace="b1488bec-07dc-4490-8381-d7e9ad06e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488bec-07dc-4490-8381-d7e9ad06eb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99eb857a-ee9e-4966-8826-0d2f99b7b2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488bec-07dc-4490-8381-d7e9ad06eb0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2046027-8F49-4213-B6C8-BEB68A55AF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488bec-07dc-4490-8381-d7e9ad06e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D7ACB1-8BD6-4350-A7BD-DFEEABB9D1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3EDE41-748F-4A17-851F-C7872B8B2C12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b1488bec-07dc-4490-8381-d7e9ad06eb00"/>
    <ds:schemaRef ds:uri="http://purl.org/dc/dcmitype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Contest Overview</vt:lpstr>
      <vt:lpstr>Config</vt:lpstr>
      <vt:lpstr>Weekly Entry</vt:lpstr>
      <vt:lpstr>Weekly Leaderboard</vt:lpstr>
      <vt:lpstr>Monthly Leaderboard</vt:lpstr>
      <vt:lpstr>Yearly Leaderboard</vt:lpstr>
      <vt:lpstr>Instructions</vt:lpstr>
      <vt:lpstr>WeeklyCumulative</vt:lpstr>
      <vt:lpstr>BoardExport</vt:lpstr>
      <vt:lpstr>BoardExport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Paradis, Leslie</dc:creator>
  <cp:keywords/>
  <dc:description/>
  <cp:lastModifiedBy>Fitzgerald, Aidan</cp:lastModifiedBy>
  <cp:revision/>
  <dcterms:created xsi:type="dcterms:W3CDTF">2026-06-05T15:39:14Z</dcterms:created>
  <dcterms:modified xsi:type="dcterms:W3CDTF">2026-07-21T14:54:41Z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0x0101009D8B36726BCC684081C2EB7CBD9809A5</vt:lpwstr>
  </property>
  <property fmtid="{D5CDD505-2E9C-101B-9397-08002B2CF9AE}" pid="3" name="MediaServiceImageTags">
    <vt:lpwstr/>
  </property>
</Properties>
</file>